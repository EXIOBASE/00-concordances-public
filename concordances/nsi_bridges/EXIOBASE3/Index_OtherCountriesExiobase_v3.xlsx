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National accounts_20150120\maps\"/>
    </mc:Choice>
  </mc:AlternateContent>
  <bookViews>
    <workbookView xWindow="0" yWindow="375" windowWidth="15150" windowHeight="5355" activeTab="5"/>
  </bookViews>
  <sheets>
    <sheet name="AU" sheetId="5" r:id="rId1"/>
    <sheet name="BR" sheetId="11" r:id="rId2"/>
    <sheet name="CA" sheetId="10" r:id="rId3"/>
    <sheet name="CN" sheetId="18" r:id="rId4"/>
    <sheet name="ID" sheetId="13" r:id="rId5"/>
    <sheet name="IN" sheetId="14" r:id="rId6"/>
    <sheet name="JP" sheetId="8" r:id="rId7"/>
    <sheet name="KR" sheetId="9" r:id="rId8"/>
    <sheet name="MX" sheetId="7" r:id="rId9"/>
    <sheet name="RU" sheetId="17" r:id="rId10"/>
    <sheet name="TW" sheetId="15" r:id="rId11"/>
    <sheet name="US" sheetId="6" r:id="rId12"/>
    <sheet name="ZA" sheetId="16" r:id="rId13"/>
  </sheets>
  <calcPr calcId="152511"/>
</workbook>
</file>

<file path=xl/calcChain.xml><?xml version="1.0" encoding="utf-8"?>
<calcChain xmlns="http://schemas.openxmlformats.org/spreadsheetml/2006/main">
  <c r="E109" i="6" l="1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77" i="15"/>
  <c r="E76" i="15"/>
  <c r="E75" i="15"/>
  <c r="E74" i="15"/>
  <c r="E73" i="15"/>
  <c r="E72" i="15"/>
  <c r="E71" i="15"/>
  <c r="E70" i="15"/>
  <c r="E69" i="15"/>
  <c r="E68" i="15"/>
  <c r="E67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72" i="17"/>
  <c r="E71" i="17"/>
  <c r="E70" i="17"/>
  <c r="E69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I6" i="14" l="1"/>
</calcChain>
</file>

<file path=xl/sharedStrings.xml><?xml version="1.0" encoding="utf-8"?>
<sst xmlns="http://schemas.openxmlformats.org/spreadsheetml/2006/main" count="2998" uniqueCount="1105">
  <si>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</si>
  <si>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</si>
  <si>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</si>
  <si>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</si>
  <si>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</si>
  <si>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</si>
  <si>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</si>
  <si>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</si>
  <si>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</si>
  <si>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</si>
  <si>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</si>
  <si>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</si>
  <si>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</si>
  <si>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</si>
  <si>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</si>
  <si>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</si>
  <si>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</si>
  <si>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</si>
  <si>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</si>
  <si>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</si>
  <si>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</si>
  <si>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</si>
  <si>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</si>
  <si>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</si>
  <si>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</si>
  <si>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</si>
  <si>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</si>
  <si>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</si>
  <si>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</si>
  <si>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C33</t>
  </si>
  <si>
    <t>SectorCode</t>
  </si>
  <si>
    <t>CTOTAL TOTAL</t>
  </si>
  <si>
    <t xml:space="preserve">  C01T05 AGRICULTURE, HUNTING, FORESTRY AND FISHING</t>
  </si>
  <si>
    <t xml:space="preserve">    C01T02 Agriculture, hunting and forestry</t>
  </si>
  <si>
    <t xml:space="preserve">      C01 Agriculture, hunting and related service activities</t>
  </si>
  <si>
    <t xml:space="preserve">      C02 Forestry, logging and related service activities</t>
  </si>
  <si>
    <t xml:space="preserve">    C05 Fishing, fish hatcheries, fish farms and related services</t>
  </si>
  <si>
    <t xml:space="preserve">  C10T14 MINING AND QUARRYING</t>
  </si>
  <si>
    <t xml:space="preserve">    C10T12 Mining and quarrying of energy producing materials</t>
  </si>
  <si>
    <t xml:space="preserve">      C10 Mining of coal and lignite, extraction of peat</t>
  </si>
  <si>
    <t xml:space="preserve">      C11 Extraction of crude petroleum and natural gas and related services</t>
  </si>
  <si>
    <t xml:space="preserve">      C12 Mining of uranium and thorium ores</t>
  </si>
  <si>
    <t xml:space="preserve">    C13T14 Mining and quarrying except energy producing materials</t>
  </si>
  <si>
    <t xml:space="preserve">      C13 Mining of metal ores</t>
  </si>
  <si>
    <t xml:space="preserve">      C14 Other mining and quarrying</t>
  </si>
  <si>
    <t xml:space="preserve">  C15T37 MANUFACTURING</t>
  </si>
  <si>
    <t xml:space="preserve">    C15T16 Food products, beverages and tobacco</t>
  </si>
  <si>
    <t xml:space="preserve">      C15 Food products and beverages</t>
  </si>
  <si>
    <t xml:space="preserve">      C16 Tobacco products</t>
  </si>
  <si>
    <t xml:space="preserve">    C17T19 Textiles, textile products, leather and footwear</t>
  </si>
  <si>
    <t xml:space="preserve">      C17T18 Textiles and textile products</t>
  </si>
  <si>
    <t xml:space="preserve">        C17 Textiles</t>
  </si>
  <si>
    <t xml:space="preserve">        C18 Wearing apparel, dressing and dyeing of fur</t>
  </si>
  <si>
    <t xml:space="preserve">      C19 Leather, leather products and footwear</t>
  </si>
  <si>
    <t xml:space="preserve">    C20 Wood and products of wood and cork</t>
  </si>
  <si>
    <t xml:space="preserve">    C21T22 Pulp, paper, paper products, printing and publishing</t>
  </si>
  <si>
    <t xml:space="preserve">      C21 Pulp, paper and paper products</t>
  </si>
  <si>
    <t xml:space="preserve">      C22 Printing and publishing</t>
  </si>
  <si>
    <t xml:space="preserve">    C23T25 Chemical, rubber, plastics and fuel products</t>
  </si>
  <si>
    <t xml:space="preserve">      C23 Coke, refined petroleum products and nuclear fuel</t>
  </si>
  <si>
    <t xml:space="preserve">      C24 Chemicals and chemical products</t>
  </si>
  <si>
    <t xml:space="preserve">        C24X Chemicals excluding phamaceuticals</t>
  </si>
  <si>
    <t xml:space="preserve">        C2423 Pharmaceuticals</t>
  </si>
  <si>
    <t xml:space="preserve">      C25 Rubber and plastics products</t>
  </si>
  <si>
    <t xml:space="preserve">    C26 Other non-metallic mineral products</t>
  </si>
  <si>
    <t xml:space="preserve">    C27T28 Basic metals and fabricated metal products</t>
  </si>
  <si>
    <t xml:space="preserve">      C27 Basic metals</t>
  </si>
  <si>
    <t xml:space="preserve">        C271T31 Iron and steel</t>
  </si>
  <si>
    <t xml:space="preserve">        C272T32 Non-ferrous metals</t>
  </si>
  <si>
    <t xml:space="preserve">      C28 Fabricated metal products, except machinery and equipment</t>
  </si>
  <si>
    <t xml:space="preserve">    C29T33 Machinery and equipment</t>
  </si>
  <si>
    <t xml:space="preserve">      C29 Machinery and equipment, n.e.c.</t>
  </si>
  <si>
    <t xml:space="preserve">      C30T33 Electrical and optical equipment</t>
  </si>
  <si>
    <t xml:space="preserve">        C30 Office, accounting and computing machinery</t>
  </si>
  <si>
    <t xml:space="preserve">        C31 Electrical machinery and apparatus, n.e.c.</t>
  </si>
  <si>
    <t xml:space="preserve">        C32 Radio, television and communication equipment</t>
  </si>
  <si>
    <t xml:space="preserve">        C33 Medical, precision and optical instruments</t>
  </si>
  <si>
    <t xml:space="preserve">    C34T35 Transport equipment</t>
  </si>
  <si>
    <t xml:space="preserve">      C34 Motor vehicles, trailers and semi-trailers</t>
  </si>
  <si>
    <t xml:space="preserve">      C35 Other transport equipment</t>
  </si>
  <si>
    <t xml:space="preserve">        C351 Building and repairing of ships and boats</t>
  </si>
  <si>
    <t xml:space="preserve">        C353 Aircraft and spacecraft</t>
  </si>
  <si>
    <t xml:space="preserve">        C352A9 Railroad equipment and transport equipment n.e.c.</t>
  </si>
  <si>
    <t xml:space="preserve">    C36T37 Manufacturing n.e.c. and recycling</t>
  </si>
  <si>
    <t xml:space="preserve">      C36 Manufacturing n.e.c.</t>
  </si>
  <si>
    <t xml:space="preserve">      C37 Recycling</t>
  </si>
  <si>
    <t xml:space="preserve">  C40T41 ELECTRICITY GAS AND, WATER SUPPLY</t>
  </si>
  <si>
    <t xml:space="preserve">    C40 Electricity, gas, steam and hot water supply</t>
  </si>
  <si>
    <t xml:space="preserve">    C41 Collection, purification and distribution of water</t>
  </si>
  <si>
    <t xml:space="preserve">  C45 CONSTRUCTION</t>
  </si>
  <si>
    <t xml:space="preserve">  C50T55 WHOLESALE AND RETAIL TRADE - RESTAURANTS AND HOTELS</t>
  </si>
  <si>
    <t xml:space="preserve">    C50T52 Wholesale and retail trade - repairs</t>
  </si>
  <si>
    <t xml:space="preserve">      C50 Sale, maintenance and repair of motor vehicles and motorcycles - retail sale of automotive fuel</t>
  </si>
  <si>
    <t xml:space="preserve">      C51 Wholesale, trade and commission excl. motor vehicles</t>
  </si>
  <si>
    <t xml:space="preserve">      C52 Retail trade excl. motor vehicles - repair of household goods</t>
  </si>
  <si>
    <t xml:space="preserve">    C55 Hotels and restaurants</t>
  </si>
  <si>
    <t xml:space="preserve">  C60T64 TRANSPORT, STORAGE AND COMMUNICATIONS</t>
  </si>
  <si>
    <t xml:space="preserve">    C60T63 Transport and storage</t>
  </si>
  <si>
    <t xml:space="preserve">      C60 Land transport - transport via pipelines</t>
  </si>
  <si>
    <t xml:space="preserve">      C61 Water transport</t>
  </si>
  <si>
    <t xml:space="preserve">      C62 Air transport</t>
  </si>
  <si>
    <t xml:space="preserve">      C63 Supporting and auxiliary transport activities</t>
  </si>
  <si>
    <t xml:space="preserve">    C64 Post and telecommunications</t>
  </si>
  <si>
    <t xml:space="preserve">  C65T74 FINANCE, INSURANCE, REAL ESTATE AND BUSINESS SERVICES</t>
  </si>
  <si>
    <t xml:space="preserve">    C65T67 Financial intermediation</t>
  </si>
  <si>
    <t xml:space="preserve">      C65 Financial intermediation, except insurance and pension funding</t>
  </si>
  <si>
    <t xml:space="preserve">      C66 Insurance and pension funding, except compulsory social security</t>
  </si>
  <si>
    <t xml:space="preserve">      C67 Activities auxiliary to financial intermediation</t>
  </si>
  <si>
    <t xml:space="preserve">    C70T74 Real estate, renting and business activities</t>
  </si>
  <si>
    <t xml:space="preserve">      C70 Real estate activities</t>
  </si>
  <si>
    <t xml:space="preserve">      C71T74 Renting of mach. and equip. - other business activities</t>
  </si>
  <si>
    <t xml:space="preserve">        C71 Renting of machinery and equipment</t>
  </si>
  <si>
    <t xml:space="preserve">        C72 Computer and related activities</t>
  </si>
  <si>
    <t xml:space="preserve">        C73 Research and development</t>
  </si>
  <si>
    <t xml:space="preserve">        C74 Other business activities</t>
  </si>
  <si>
    <t xml:space="preserve">  C75T99 COMMUNITY, SOCIAL AND PERSONAL SERVICES</t>
  </si>
  <si>
    <t xml:space="preserve">    C75 Public admin. and defence - compulsory social security</t>
  </si>
  <si>
    <t xml:space="preserve">    C80 Education</t>
  </si>
  <si>
    <t xml:space="preserve">    C85 Health and social work</t>
  </si>
  <si>
    <t xml:space="preserve">    C90T93 Other community, social and personal services</t>
  </si>
  <si>
    <t xml:space="preserve">      C90 Sewage and refuse disposal, sanitation and similar activities</t>
  </si>
  <si>
    <t xml:space="preserve">      C91 Activities of membership organizations n.e.c.</t>
  </si>
  <si>
    <t xml:space="preserve">      C92 Recreational, cultural and sporting activities</t>
  </si>
  <si>
    <t xml:space="preserve">      C93 Other service activities</t>
  </si>
  <si>
    <t xml:space="preserve">    C95 Private households with employed persons</t>
  </si>
  <si>
    <t>C10T41 INDUSTRY INCLUDING ENERGY</t>
  </si>
  <si>
    <t>C27T35 Basic metals, metal products, machinery and equipment</t>
  </si>
  <si>
    <t>C50T99 TOTAL SERVICES</t>
  </si>
  <si>
    <t>C50T74 BUSINESS SECTOR SERVICES</t>
  </si>
  <si>
    <t>C50T74X BUSINESS SECTOR SERVICES excluding real estate</t>
  </si>
  <si>
    <t>C10T74X NON-AGRICULTURE BUSINESS SECTOR excluding real estate</t>
  </si>
  <si>
    <t>HITECH High-technology manufactures</t>
  </si>
  <si>
    <t>MHTECH Medium-high technology manufactures</t>
  </si>
  <si>
    <t>MLTECH Medium-low technology manufactures</t>
  </si>
  <si>
    <t>LOTECH Low technology manufactures</t>
  </si>
  <si>
    <t>HMHTECH High and medium-high technology manufactures</t>
  </si>
  <si>
    <t>ENERGYP Energy producing activities</t>
  </si>
  <si>
    <t>Data extracted on 03 Dec 2014 16:15 UTC (GMT) from OECD.Stat</t>
  </si>
  <si>
    <t>i01.a;i01.b;i01.c;i01.d;i01.e;i01.f;i01.g;i01.h;i01.i;i01.j;i01.k;i01.l;i01.m;i01.n;i01.o;i01.w.1;i01.w.2;i02;i05;i10;i11.a;i11.b;i11.c;i12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</si>
  <si>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i01.a;i01.b;i01.c;i01.d;i01.e;i01.f;i01.g;i01.h;i01.i;i01.j;i01.k;i01.l;i01.m;i01.n;i01.o;i01.w.1;i01.w.2;i02;</t>
  </si>
  <si>
    <t>i01.a;i01.b;i01.c;i01.d;i01.e;i01.f;i01.g;i01.h;i01.i;i01.j;i01.k;i01.l;i01.m;i01.n;i01.o;i01.w.1;i01.w.2;</t>
  </si>
  <si>
    <t>i02;</t>
  </si>
  <si>
    <t>i05;</t>
  </si>
  <si>
    <t>i10;i11.a;i11.b;i11.c;i12;</t>
  </si>
  <si>
    <t>i10;</t>
  </si>
  <si>
    <t>i11.a;i11.b;i11.c;</t>
  </si>
  <si>
    <t>i12;</t>
  </si>
  <si>
    <t>i13.1;i13.20.11;i13.20.12;i13.20.13;i13.20.14;i13.20.15;i13.20.16;i14.1;i14.2;i14.3;</t>
  </si>
  <si>
    <t>i13.1;i13.20.11;i13.20.12;i13.20.13;i13.20.14;i13.20.15;i13.20.16;</t>
  </si>
  <si>
    <t>i14.1;i14.2;i14.3;</t>
  </si>
  <si>
    <t>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</t>
  </si>
  <si>
    <t>i15.a;i15.b;i15.c;i15.d;i15.e;i15.f;i15.g;i15.h;i15.i;i15.j;i15.k;i16;</t>
  </si>
  <si>
    <t>i15.a;i15.b;i15.c;i15.d;i15.e;i15.f;i15.g;i15.h;i15.i;i15.j;i15.k;</t>
  </si>
  <si>
    <t>i16;</t>
  </si>
  <si>
    <t>i17;i18;</t>
  </si>
  <si>
    <t>i17;</t>
  </si>
  <si>
    <t>i18;</t>
  </si>
  <si>
    <t>i19;</t>
  </si>
  <si>
    <t>i20;i20.w;</t>
  </si>
  <si>
    <t>i21.1;i21.w.1;i21.2;i22;</t>
  </si>
  <si>
    <t>i21.1;i21.w.1;i21.2;</t>
  </si>
  <si>
    <t>i22;</t>
  </si>
  <si>
    <t>i23.1;i23.2;i23.3;</t>
  </si>
  <si>
    <t>i24.1;i24.1.w;i24.2;i24.3;i24.4;</t>
  </si>
  <si>
    <t>i25;</t>
  </si>
  <si>
    <t>i26.a;i26.w.1;i26.b;i26.c;i26.d;i26.d.w;i26.e;</t>
  </si>
  <si>
    <t>i27.a;i27.a.w;i27.41;i27.41.w;i27.42;i27.42.w;i27.43;i27.43.w;i27.44;i27.44.w;i27.45;i27.45.w;i27.5;i28;</t>
  </si>
  <si>
    <t>i27.a;i27.a.w;i27.41;i27.41.w;i27.42;i27.42.w;i27.43;i27.43.w;i27.44;i27.44.w;i27.45;i27.45.w;i27.5;</t>
  </si>
  <si>
    <t>i28;</t>
  </si>
  <si>
    <t>i29;</t>
  </si>
  <si>
    <t>i30;i31;i32;i33;</t>
  </si>
  <si>
    <t>i30;</t>
  </si>
  <si>
    <t>i31;</t>
  </si>
  <si>
    <t>i32;</t>
  </si>
  <si>
    <t>i33;</t>
  </si>
  <si>
    <t>i34;i35;</t>
  </si>
  <si>
    <t>i34;</t>
  </si>
  <si>
    <t>i35;</t>
  </si>
  <si>
    <t>i36;i37;i37.w.1;</t>
  </si>
  <si>
    <t>i37;i37.w.1;</t>
  </si>
  <si>
    <t>i40.11.a;i40.11.b;i40.11.c;i40.11.d;i40.11.e;i40.11.f;i40.11.g;i40.11.h;i40.11.i;i40.11.j;i40.11.k;i40.11.l;i40.12;i40.13;i40.2;i40.3;i41;</t>
  </si>
  <si>
    <t>i40.11.a;i40.11.b;i40.11.c;i40.11.d;i40.11.e;i40.11.f;i40.11.g;i40.11.h;i40.11.i;i40.11.j;i40.11.k;i40.11.l;i40.12;i40.13;i40.2;i40.3;</t>
  </si>
  <si>
    <t>i41;</t>
  </si>
  <si>
    <t>i45;i45.w;</t>
  </si>
  <si>
    <t>i50.a;i50.b;i51;i52;</t>
  </si>
  <si>
    <t>i50.a;i50.b;</t>
  </si>
  <si>
    <t>i51;</t>
  </si>
  <si>
    <t>i52;</t>
  </si>
  <si>
    <t>i55;</t>
  </si>
  <si>
    <t>i60.1;i60.2;i60.3;i61.1;i61.2;i62;i63;i64;</t>
  </si>
  <si>
    <t>i60.1;i60.2;i60.3;</t>
  </si>
  <si>
    <t>i61.1;i61.2;</t>
  </si>
  <si>
    <t>i62;</t>
  </si>
  <si>
    <t>i63;</t>
  </si>
  <si>
    <t>i64;</t>
  </si>
  <si>
    <t>i65;i66;i67;</t>
  </si>
  <si>
    <t>i65;</t>
  </si>
  <si>
    <t>i66;</t>
  </si>
  <si>
    <t>i67;</t>
  </si>
  <si>
    <t>i70;i71;i72;i73;i74;</t>
  </si>
  <si>
    <t>i70;</t>
  </si>
  <si>
    <t>i71;</t>
  </si>
  <si>
    <t>i72;</t>
  </si>
  <si>
    <t>i73;</t>
  </si>
  <si>
    <t>i74;</t>
  </si>
  <si>
    <t>i80;</t>
  </si>
  <si>
    <t>i85;</t>
  </si>
  <si>
    <t>i90.1.a;i90.1.b;i90.1.c;i90.1.d;i90.1.e;i90.1.f;i90.1.g;i90.3.a;i90.3.b;i90.3.c;i90.4.a;i90.4.b;i90.5.a;i90.5.b;i90.6.a;i90.6.b;i90.6.c;i90.6.d;i90.6.e;i90.6.f;i91;i92;i93;</t>
  </si>
  <si>
    <t>i90.1.a;i90.1.b;i90.1.c;i90.1.d;i90.1.e;i90.1.f;i90.1.g;i90.3.a;i90.3.b;i90.3.c;i90.4.a;i90.4.b;i90.5.a;i90.5.b;i90.6.a;i90.6.b;i90.6.c;i90.6.d;i90.6.e;i90.6.f;</t>
  </si>
  <si>
    <t>i91;</t>
  </si>
  <si>
    <t>i92;</t>
  </si>
  <si>
    <t>i93;</t>
  </si>
  <si>
    <t>i95;</t>
  </si>
  <si>
    <t>i71;i72;i73;i74;</t>
  </si>
  <si>
    <t>CTOTAL</t>
  </si>
  <si>
    <t>C01T05</t>
  </si>
  <si>
    <t>C01T02</t>
  </si>
  <si>
    <t>C10T14</t>
  </si>
  <si>
    <t>C10T12</t>
  </si>
  <si>
    <t>C13T14</t>
  </si>
  <si>
    <t>C15T37</t>
  </si>
  <si>
    <t>C15T16</t>
  </si>
  <si>
    <t>C17T19</t>
  </si>
  <si>
    <t>C17T18</t>
  </si>
  <si>
    <t>C21T22</t>
  </si>
  <si>
    <t>C23T25</t>
  </si>
  <si>
    <t>C27T28</t>
  </si>
  <si>
    <t>C271T31</t>
  </si>
  <si>
    <t>C272T32</t>
  </si>
  <si>
    <t>C29T33</t>
  </si>
  <si>
    <t>C30T33</t>
  </si>
  <si>
    <t>C34T35</t>
  </si>
  <si>
    <t>C352A9</t>
  </si>
  <si>
    <t>C36T37</t>
  </si>
  <si>
    <t>C40T41</t>
  </si>
  <si>
    <t>C50T55</t>
  </si>
  <si>
    <t>C50T52</t>
  </si>
  <si>
    <t>C60T64</t>
  </si>
  <si>
    <t>C60T63</t>
  </si>
  <si>
    <t>C65T74</t>
  </si>
  <si>
    <t>C65T67</t>
  </si>
  <si>
    <t>C70T74</t>
  </si>
  <si>
    <t>C71T74</t>
  </si>
  <si>
    <t>C75T99</t>
  </si>
  <si>
    <t>C90T93</t>
  </si>
  <si>
    <t>C10T41</t>
  </si>
  <si>
    <t>C27T35</t>
  </si>
  <si>
    <t>C50T99</t>
  </si>
  <si>
    <t>C50T74</t>
  </si>
  <si>
    <t>C50T74X</t>
  </si>
  <si>
    <t>C10T74X</t>
  </si>
  <si>
    <t>HITECH</t>
  </si>
  <si>
    <t>MHTECH</t>
  </si>
  <si>
    <t>MLTECH</t>
  </si>
  <si>
    <t>LOTECH</t>
  </si>
  <si>
    <t>HMHTECH</t>
  </si>
  <si>
    <t>ENERGYP</t>
  </si>
  <si>
    <t>C01</t>
  </si>
  <si>
    <t>C02</t>
  </si>
  <si>
    <t>C05</t>
  </si>
  <si>
    <t>C10</t>
  </si>
  <si>
    <t>C11</t>
  </si>
  <si>
    <t>C12</t>
  </si>
  <si>
    <t>C13</t>
  </si>
  <si>
    <t>C14</t>
  </si>
  <si>
    <t>C15</t>
  </si>
  <si>
    <t>C24X</t>
  </si>
  <si>
    <t>C2423</t>
  </si>
  <si>
    <t>C31</t>
  </si>
  <si>
    <t>C32</t>
  </si>
  <si>
    <t>C34</t>
  </si>
  <si>
    <t>C35</t>
  </si>
  <si>
    <t>C351</t>
  </si>
  <si>
    <t>C353</t>
  </si>
  <si>
    <t>C36</t>
  </si>
  <si>
    <t>C37</t>
  </si>
  <si>
    <t>C40</t>
  </si>
  <si>
    <t>C41</t>
  </si>
  <si>
    <t>C45</t>
  </si>
  <si>
    <t>C50</t>
  </si>
  <si>
    <t>C51</t>
  </si>
  <si>
    <t>C52</t>
  </si>
  <si>
    <t>C55</t>
  </si>
  <si>
    <t>C60</t>
  </si>
  <si>
    <t>C61</t>
  </si>
  <si>
    <t>C62</t>
  </si>
  <si>
    <t>C63</t>
  </si>
  <si>
    <t>C64</t>
  </si>
  <si>
    <t>C65</t>
  </si>
  <si>
    <t>C66</t>
  </si>
  <si>
    <t>C67</t>
  </si>
  <si>
    <t>C70</t>
  </si>
  <si>
    <t>C71</t>
  </si>
  <si>
    <t>C72</t>
  </si>
  <si>
    <t>C73</t>
  </si>
  <si>
    <t>C74</t>
  </si>
  <si>
    <t>C75</t>
  </si>
  <si>
    <t>C80</t>
  </si>
  <si>
    <t>C85</t>
  </si>
  <si>
    <t>C90</t>
  </si>
  <si>
    <t>C91</t>
  </si>
  <si>
    <t>C92</t>
  </si>
  <si>
    <t>C93</t>
  </si>
  <si>
    <t>C95</t>
  </si>
  <si>
    <t>Data</t>
  </si>
  <si>
    <t>ISIC_R3</t>
  </si>
  <si>
    <t>AU_EXIOBASE1</t>
  </si>
  <si>
    <t>US_EXIOBASE1</t>
  </si>
  <si>
    <t>MX_EXIOBASE1</t>
  </si>
  <si>
    <t>JP_EXIOBASE1</t>
  </si>
  <si>
    <t>KR_EXIOBASE1</t>
  </si>
  <si>
    <t>CA_EXIOBASE1</t>
  </si>
  <si>
    <t>                total</t>
  </si>
  <si>
    <t>agricultural</t>
  </si>
  <si>
    <t>      Agriculture, forestry and logging</t>
  </si>
  <si>
    <t>      Livestock and fisheries</t>
  </si>
  <si>
    <t>industry</t>
  </si>
  <si>
    <t>      Oil and natural gas</t>
  </si>
  <si>
    <t>      Iron ore</t>
  </si>
  <si>
    <t>      Other mining and quarrying</t>
  </si>
  <si>
    <t>      Food and drinks</t>
  </si>
  <si>
    <t>      Products smoke</t>
  </si>
  <si>
    <t>      textiles</t>
  </si>
  <si>
    <t>      Articles of apparel and accessories</t>
  </si>
  <si>
    <t>      Leather goods and footwear</t>
  </si>
  <si>
    <t>      Wood products - furniture exclusive</t>
  </si>
  <si>
    <t>      Pulp and paper products</t>
  </si>
  <si>
    <t>      Newspapers, magazines, records</t>
  </si>
  <si>
    <t>      Petroleum refining and coke</t>
  </si>
  <si>
    <t>      alcohol</t>
  </si>
  <si>
    <t>      chemicals</t>
  </si>
  <si>
    <t>      Resin manufacturing and elastomers</t>
  </si>
  <si>
    <t>      pharmaceutical products</t>
  </si>
  <si>
    <t>      agrochemicals</t>
  </si>
  <si>
    <t>      Perfumery, hygiene and cleaning</t>
  </si>
  <si>
    <t>      Paints, varnishes, enamels and lacquers</t>
  </si>
  <si>
    <t>      Products and prepared several chemical</t>
  </si>
  <si>
    <t>      Rubber and plastic</t>
  </si>
  <si>
    <t>      cement</t>
  </si>
  <si>
    <t>      Other non-metallic mineral products</t>
  </si>
  <si>
    <t>      Steel fabrication and derivatives</t>
  </si>
  <si>
    <t>      Non-ferrous metallurgy</t>
  </si>
  <si>
    <t>      Metal products - except machinery and equipment</t>
  </si>
  <si>
    <t>      Office machinery and computer equipment</t>
  </si>
  <si>
    <t>      Machinery, appliances and equipment</t>
  </si>
  <si>
    <t>      Electronic material and communication equipment</t>
  </si>
  <si>
    <t>      Appliances / medical and hospital instruments, measurement and optical</t>
  </si>
  <si>
    <t>      Other transport equipment</t>
  </si>
  <si>
    <t>      Furniture and products of various industries</t>
  </si>
  <si>
    <t>      Production and distribution of electricity, gas, water, sewage and urban sanitation</t>
  </si>
  <si>
    <t>      building</t>
  </si>
  <si>
    <t>servicing</t>
  </si>
  <si>
    <t>      trade</t>
  </si>
  <si>
    <t>      Transportation, storage and mailing</t>
  </si>
  <si>
    <t>      Information Services</t>
  </si>
  <si>
    <t>      Financial intermediation, insurance and pension plan and related services</t>
  </si>
  <si>
    <t>      Real estate activities and rentals</t>
  </si>
  <si>
    <t>      Maintenance and repair services</t>
  </si>
  <si>
    <t>      Accommodation and food services</t>
  </si>
  <si>
    <t>      Business services</t>
  </si>
  <si>
    <t>      commercial education</t>
  </si>
  <si>
    <t>      commercial health</t>
  </si>
  <si>
    <t>      Services provided to families and associations</t>
  </si>
  <si>
    <t>      domestic services</t>
  </si>
  <si>
    <t>      public education</t>
  </si>
  <si>
    <t>      public health</t>
  </si>
  <si>
    <t>      Public administration and social security</t>
  </si>
  <si>
    <t>i36;</t>
  </si>
  <si>
    <t>i99;</t>
  </si>
  <si>
    <t>Manufacture of gas; distribution of gaseous fuels through mains</t>
  </si>
  <si>
    <t>Steam and hot water supply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</si>
  <si>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</si>
  <si>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</si>
  <si>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</si>
  <si>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</si>
  <si>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</si>
  <si>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</si>
  <si>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</si>
  <si>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</si>
  <si>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</si>
  <si>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</si>
  <si>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</si>
  <si>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</si>
  <si>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</si>
  <si>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</si>
  <si>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</si>
  <si>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</si>
  <si>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</si>
  <si>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</si>
  <si>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</si>
  <si>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</si>
  <si>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</si>
  <si>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</si>
  <si>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</si>
  <si>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</si>
  <si>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</si>
  <si>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</si>
  <si>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</si>
  <si>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</si>
  <si>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i40.2</t>
  </si>
  <si>
    <t>i40.3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</si>
  <si>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</si>
  <si>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</si>
  <si>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</si>
  <si>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</si>
  <si>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</si>
  <si>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</si>
  <si>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</si>
  <si>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</si>
  <si>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</si>
  <si>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</si>
  <si>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</si>
  <si>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</si>
  <si>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</si>
  <si>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</si>
  <si>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</si>
  <si>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</si>
  <si>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</si>
  <si>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</si>
  <si>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</si>
  <si>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</si>
  <si>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</si>
  <si>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</si>
  <si>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</si>
  <si>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</si>
  <si>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</si>
  <si>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</si>
  <si>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</si>
  <si>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</si>
  <si>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</si>
  <si>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</si>
  <si>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</si>
  <si>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</si>
  <si>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</si>
  <si>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i01.a;i01.b;i01.c;i01.d;i01.e;i01.f;i01.g;i01.h;</t>
  </si>
  <si>
    <t>i01.a;i01.b;i01.c;i01.d;i01.e;i01.f;i01.g;i01.h;i02;</t>
  </si>
  <si>
    <t>i01.i;i01.j;i01.k;i01.l;i01.m;i01.n;i01.o;i01.w.1;i01.w.2;i05;</t>
  </si>
  <si>
    <t>i70;i71;</t>
  </si>
  <si>
    <t>i27.a;i27.a.w;</t>
  </si>
  <si>
    <t>i26.d;i26.d.w</t>
  </si>
  <si>
    <t>0101</t>
  </si>
  <si>
    <t>0102</t>
  </si>
  <si>
    <t>0201</t>
  </si>
  <si>
    <t>0202</t>
  </si>
  <si>
    <t>0203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</si>
  <si>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</si>
  <si>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</si>
  <si>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</si>
  <si>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</si>
  <si>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</si>
  <si>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</si>
  <si>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</si>
  <si>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</si>
  <si>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</si>
  <si>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</si>
  <si>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</si>
  <si>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</si>
  <si>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</si>
  <si>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</si>
  <si>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</si>
  <si>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</si>
  <si>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</si>
  <si>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</si>
  <si>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</si>
  <si>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</si>
  <si>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</si>
  <si>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</si>
  <si>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</si>
  <si>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0326</t>
  </si>
  <si>
    <t>0327</t>
  </si>
  <si>
    <t>0328</t>
  </si>
  <si>
    <t>0329</t>
  </si>
  <si>
    <t>0333</t>
  </si>
  <si>
    <t>0334</t>
  </si>
  <si>
    <t>0401</t>
  </si>
  <si>
    <t>0501</t>
  </si>
  <si>
    <t>0601</t>
  </si>
  <si>
    <t>0701</t>
  </si>
  <si>
    <t>0801</t>
  </si>
  <si>
    <t>0901</t>
  </si>
  <si>
    <t>1001</t>
  </si>
  <si>
    <t>1101</t>
  </si>
  <si>
    <t>1102</t>
  </si>
  <si>
    <t>1103</t>
  </si>
  <si>
    <t>1104</t>
  </si>
  <si>
    <t>1105</t>
  </si>
  <si>
    <t>1106</t>
  </si>
  <si>
    <t>1201</t>
  </si>
  <si>
    <t>1202</t>
  </si>
  <si>
    <t>1203</t>
  </si>
  <si>
    <t>C0101T0102</t>
  </si>
  <si>
    <t>C0201T0501</t>
  </si>
  <si>
    <t>C0601T1203</t>
  </si>
  <si>
    <t>Code_BR</t>
  </si>
  <si>
    <t>BR_EXIOBASE1</t>
  </si>
  <si>
    <t>i01.a;i01.b;i01.c;i01.d;i01.e;i01.f;i01.g;i01.h;i02;i01.i;i01.j;i01.k;i01.l;i01.m;i01.n;i01.o;i01.w.1;i01.w.2;i05;</t>
  </si>
  <si>
    <t>Original</t>
  </si>
  <si>
    <t>15 Food and drink</t>
  </si>
  <si>
    <t>16 Tobacco</t>
  </si>
  <si>
    <t>17 Textiles</t>
  </si>
  <si>
    <t>18 Confection</t>
  </si>
  <si>
    <t>19 Tanning and dressing of leather</t>
  </si>
  <si>
    <t>20 Wood and products of wood, and wicker</t>
  </si>
  <si>
    <t>21 Paper and paper products</t>
  </si>
  <si>
    <t>22 Publishing, printing and reproduction</t>
  </si>
  <si>
    <t>23 Coal, oil and natural gas, and nuclear fuel</t>
  </si>
  <si>
    <t>24 Chemicals and items of chemicals</t>
  </si>
  <si>
    <t>25 Rubber and plastic goods</t>
  </si>
  <si>
    <t>26 Nonmetallic mineral products</t>
  </si>
  <si>
    <t>27 Basic metals</t>
  </si>
  <si>
    <t>28 Goods of metal and equipment</t>
  </si>
  <si>
    <t>29 Machinery and equipment</t>
  </si>
  <si>
    <t>30 Office, accounting and data processing</t>
  </si>
  <si>
    <t>31 Electrical machinery and apparatus nec</t>
  </si>
  <si>
    <t>32 Radio, television and communication equipment</t>
  </si>
  <si>
    <t>33 Medical equipment, measuring instruments, navigation, optical, and clock</t>
  </si>
  <si>
    <t>34 Motor vehicle</t>
  </si>
  <si>
    <t>35 Other transport equipment</t>
  </si>
  <si>
    <t>36 Furniture and other manufacturing industries</t>
  </si>
  <si>
    <t>37 Recycling</t>
  </si>
  <si>
    <t>ID_EXIOBASE1</t>
  </si>
  <si>
    <t>AGRICULTURE  &amp; ALLIED ACTIVITIES</t>
  </si>
  <si>
    <t>agriculture</t>
  </si>
  <si>
    <t>livestock</t>
  </si>
  <si>
    <t>FORESTRY &amp; LOGGING</t>
  </si>
  <si>
    <t>industrial wood</t>
  </si>
  <si>
    <t>firewood</t>
  </si>
  <si>
    <t>minor forest products</t>
  </si>
  <si>
    <t>FISHING</t>
  </si>
  <si>
    <t>inland fish *</t>
  </si>
  <si>
    <t>marine fish **</t>
  </si>
  <si>
    <t xml:space="preserve"> MINING AND QUARRYING</t>
  </si>
  <si>
    <t>major minerals</t>
  </si>
  <si>
    <t>1.1.1</t>
  </si>
  <si>
    <t>fuel minerals</t>
  </si>
  <si>
    <t>1.1.1.3</t>
  </si>
  <si>
    <t>petroleum &amp; natural gas</t>
  </si>
  <si>
    <t>1.1.2</t>
  </si>
  <si>
    <t>metallic minerals</t>
  </si>
  <si>
    <t>1.1.2.1</t>
  </si>
  <si>
    <t>iron ore</t>
  </si>
  <si>
    <t>1.1.2.2</t>
  </si>
  <si>
    <t>manganese ore</t>
  </si>
  <si>
    <t>1.1.2.3</t>
  </si>
  <si>
    <t>bauxite</t>
  </si>
  <si>
    <t>1.1.2.4</t>
  </si>
  <si>
    <t>copper ore</t>
  </si>
  <si>
    <t>1.1.2.5</t>
  </si>
  <si>
    <t>gold</t>
  </si>
  <si>
    <t>1.1.2.6</t>
  </si>
  <si>
    <t>others</t>
  </si>
  <si>
    <t>1.1.3</t>
  </si>
  <si>
    <t>non-metallic minerals</t>
  </si>
  <si>
    <t>1.1.3.1</t>
  </si>
  <si>
    <t>lime stone</t>
  </si>
  <si>
    <t>1.1.3.2</t>
  </si>
  <si>
    <t>mica stone</t>
  </si>
  <si>
    <t>1.1.3.3</t>
  </si>
  <si>
    <t>minor minerals</t>
  </si>
  <si>
    <t>RAILWAY</t>
  </si>
  <si>
    <t>passenger earnings</t>
  </si>
  <si>
    <t>goods earnings</t>
  </si>
  <si>
    <t>miscellaneous earnings</t>
  </si>
  <si>
    <t>CONSTRUCTION</t>
  </si>
  <si>
    <t xml:space="preserve">  new construction</t>
  </si>
  <si>
    <t xml:space="preserve">  repair &amp; maintenance</t>
  </si>
  <si>
    <t>MANUFACTURING</t>
  </si>
  <si>
    <t>151-154</t>
  </si>
  <si>
    <t>food products</t>
  </si>
  <si>
    <t>155+16</t>
  </si>
  <si>
    <t>beverages and tobacco products</t>
  </si>
  <si>
    <t>171-173+181+01405</t>
  </si>
  <si>
    <t>textile products</t>
  </si>
  <si>
    <t>182+19</t>
  </si>
  <si>
    <t>leather &amp; fur products</t>
  </si>
  <si>
    <t>20+361</t>
  </si>
  <si>
    <t xml:space="preserve">wood and wood products,furniture, fixtures etc  </t>
  </si>
  <si>
    <t>21+22</t>
  </si>
  <si>
    <t>paper and printing etc.</t>
  </si>
  <si>
    <t>23+25</t>
  </si>
  <si>
    <t xml:space="preserve">rubber, petroleum products etc. </t>
  </si>
  <si>
    <t>24</t>
  </si>
  <si>
    <t>chemical and chemical products</t>
  </si>
  <si>
    <t>26</t>
  </si>
  <si>
    <t>non-metallic  products</t>
  </si>
  <si>
    <t>271+272+2731+2732</t>
  </si>
  <si>
    <t>basic metals</t>
  </si>
  <si>
    <t>28+29+30</t>
  </si>
  <si>
    <t>metal products and machinery</t>
  </si>
  <si>
    <t>31+32</t>
  </si>
  <si>
    <t>electrical  machinery</t>
  </si>
  <si>
    <t>33+369</t>
  </si>
  <si>
    <t>other manufacturing</t>
  </si>
  <si>
    <t>34+35</t>
  </si>
  <si>
    <t>transport equipment</t>
  </si>
  <si>
    <t>1</t>
  </si>
  <si>
    <t>COMMUNITY SERVICES</t>
  </si>
  <si>
    <t>1.1</t>
  </si>
  <si>
    <t>education</t>
  </si>
  <si>
    <t>1.2</t>
  </si>
  <si>
    <t>research &amp; scientific</t>
  </si>
  <si>
    <t>1.3</t>
  </si>
  <si>
    <t>medical &amp; health</t>
  </si>
  <si>
    <t>1.4</t>
  </si>
  <si>
    <t>religious &amp; other community</t>
  </si>
  <si>
    <t>Membership Organisations</t>
  </si>
  <si>
    <t>3</t>
  </si>
  <si>
    <t>5</t>
  </si>
  <si>
    <t>sanitary services</t>
  </si>
  <si>
    <t>7</t>
  </si>
  <si>
    <t>international &amp; other extra territorial bodies</t>
  </si>
  <si>
    <t>ELECTRICITY GAS &amp; WATER SUPPLY</t>
  </si>
  <si>
    <t>electricity</t>
  </si>
  <si>
    <t>gas</t>
  </si>
  <si>
    <t xml:space="preserve">water supply </t>
  </si>
  <si>
    <t>TRADE, HOTELS &amp; RESTAURANTS</t>
  </si>
  <si>
    <t>trade</t>
  </si>
  <si>
    <t>hotels &amp; restaurants</t>
  </si>
  <si>
    <t xml:space="preserve">TRANSPORT  BY OTHER MEANS &amp; STORAGE </t>
  </si>
  <si>
    <t>road transport</t>
  </si>
  <si>
    <t>water transport</t>
  </si>
  <si>
    <t>air tansport</t>
  </si>
  <si>
    <t>COMMUNICATION</t>
  </si>
  <si>
    <t>postal</t>
  </si>
  <si>
    <t>telephones</t>
  </si>
  <si>
    <t>1.5</t>
  </si>
  <si>
    <t>miscellaneous</t>
  </si>
  <si>
    <t>1.6</t>
  </si>
  <si>
    <t>overseas communication  services</t>
  </si>
  <si>
    <t>BANKING AND INSURANCE</t>
  </si>
  <si>
    <t>banking</t>
  </si>
  <si>
    <t>banks</t>
  </si>
  <si>
    <t>banking department of RBI</t>
  </si>
  <si>
    <t>post office saving bank</t>
  </si>
  <si>
    <t>1.1.4</t>
  </si>
  <si>
    <t>non-banking financial institutions</t>
  </si>
  <si>
    <t>1.1.5</t>
  </si>
  <si>
    <t>co-operative credit societies</t>
  </si>
  <si>
    <t>1.1.6</t>
  </si>
  <si>
    <t>employees providend fund org.</t>
  </si>
  <si>
    <t>insurance</t>
  </si>
  <si>
    <t>1.2.1</t>
  </si>
  <si>
    <t>life(other than postal  life)</t>
  </si>
  <si>
    <t>1.2.2</t>
  </si>
  <si>
    <t>postal life</t>
  </si>
  <si>
    <t>1.2.3</t>
  </si>
  <si>
    <t>non-life</t>
  </si>
  <si>
    <t>REAL ESTATE, OWNERSHIP OF DWELLINGS AND BUSINESS SERVICES</t>
  </si>
  <si>
    <t>3.1</t>
  </si>
  <si>
    <t>dwellings</t>
  </si>
  <si>
    <t>3.1.1</t>
  </si>
  <si>
    <t>rural</t>
  </si>
  <si>
    <t>3.1.2</t>
  </si>
  <si>
    <t>urban</t>
  </si>
  <si>
    <t>3.2</t>
  </si>
  <si>
    <t>real estate</t>
  </si>
  <si>
    <t>3.3</t>
  </si>
  <si>
    <t>business services</t>
  </si>
  <si>
    <t>3.4</t>
  </si>
  <si>
    <t>legal services</t>
  </si>
  <si>
    <t>i01.a;i01.b;i01.c;i01.d;i01.e;i01.f;i01.g;i01.h;i01.i;i01.j;i01.k;i01.l;i01.m;i01.n;i01.o;i01.w.1;i01.w.2;i02;i05;</t>
  </si>
  <si>
    <t>i13.1;</t>
  </si>
  <si>
    <t>i01.i;i01.j;i01.k;i01.l;i01.m;i01.n;i01.o;</t>
  </si>
  <si>
    <t>i60.1;</t>
  </si>
  <si>
    <t>i13.20.11;</t>
  </si>
  <si>
    <t>i13.20.14;</t>
  </si>
  <si>
    <t>i20;i20.w;i36;</t>
  </si>
  <si>
    <t>i29;i30;i31;i32;i33;</t>
  </si>
  <si>
    <t>i40.2;</t>
  </si>
  <si>
    <t>i40.3;i41;</t>
  </si>
  <si>
    <t>i40.11.a;i40.11.b;i40.11.c;i40.11.d;i40.11.e;i40.11.f;i40.11.g;i40.11.h;i40.11.i;i40.11.j;i40.11.k;i40.11.l;i40.12;i40.13;</t>
  </si>
  <si>
    <t>i60.1;i60.2;i60.3;i61.1;i61.2;i62;i63;</t>
  </si>
  <si>
    <t>i60.2;i60.3;i61.1;i61.2;i62;i63;</t>
  </si>
  <si>
    <t>i65;i67;</t>
  </si>
  <si>
    <t>i15.j;i16;</t>
  </si>
  <si>
    <t>i15.a;i15.b;i15.c;i15.d;i15.e;i15.f;i15.g;i15.h;i15.i;i15.k;</t>
  </si>
  <si>
    <t>OriginalName</t>
  </si>
  <si>
    <t>IN_EXIOBASE1</t>
  </si>
  <si>
    <t>SectorCode1</t>
  </si>
  <si>
    <t>OriginalName1</t>
  </si>
  <si>
    <t>OriginalCode1</t>
  </si>
  <si>
    <t>OriginalName2</t>
  </si>
  <si>
    <t>SectorCode2</t>
  </si>
  <si>
    <t>OriginalCode2</t>
  </si>
  <si>
    <t xml:space="preserve">  agriculture,forestry &amp; fishing</t>
  </si>
  <si>
    <t xml:space="preserve">  agriculture</t>
  </si>
  <si>
    <t xml:space="preserve">  forestry &amp; logging</t>
  </si>
  <si>
    <t xml:space="preserve">  fishing</t>
  </si>
  <si>
    <t xml:space="preserve">  mining &amp; quarrying</t>
  </si>
  <si>
    <t xml:space="preserve">  manufacturing</t>
  </si>
  <si>
    <t xml:space="preserve">  registered</t>
  </si>
  <si>
    <t xml:space="preserve">  unregistered</t>
  </si>
  <si>
    <t xml:space="preserve">  elect. gas &amp; water supply</t>
  </si>
  <si>
    <t xml:space="preserve">  construction</t>
  </si>
  <si>
    <t xml:space="preserve">  trade, hotels &amp; restaurant</t>
  </si>
  <si>
    <t xml:space="preserve">  trade</t>
  </si>
  <si>
    <t xml:space="preserve">  hotels &amp; restaurants</t>
  </si>
  <si>
    <t xml:space="preserve">  transport,storage &amp;   communication</t>
  </si>
  <si>
    <t xml:space="preserve">  railways</t>
  </si>
  <si>
    <t xml:space="preserve">  transport by other means</t>
  </si>
  <si>
    <t xml:space="preserve">  storage</t>
  </si>
  <si>
    <t xml:space="preserve">  communication</t>
  </si>
  <si>
    <t xml:space="preserve">  financing,insurance,real  estate &amp; business services</t>
  </si>
  <si>
    <t xml:space="preserve">  banking &amp; insurance</t>
  </si>
  <si>
    <t xml:space="preserve">  real estate,ownership of  dwellings &amp; business services</t>
  </si>
  <si>
    <t xml:space="preserve">  community,social &amp;  personal services</t>
  </si>
  <si>
    <t xml:space="preserve">  public administration &amp; defence</t>
  </si>
  <si>
    <t xml:space="preserve">  other services</t>
  </si>
  <si>
    <t>i01.a;i01.b;i01.c;i01.d;i01.e;i01.f;i01.g;i01.h;i01.i;i01.j;i01.k;i01.l;i01.m;i01.n;i01.o;</t>
  </si>
  <si>
    <t>AA.Agriculture,Horticulture and Agrarian Services</t>
  </si>
  <si>
    <t>AB.Animal Husbandry</t>
  </si>
  <si>
    <t>AC.Forestry</t>
  </si>
  <si>
    <t>AD.Fishing</t>
  </si>
  <si>
    <t>B. Mining and Quarrying</t>
  </si>
  <si>
    <t>CA.Food Manufacturing</t>
  </si>
  <si>
    <t>CB.Beverages and Tobacco Manufacturing</t>
  </si>
  <si>
    <t>CC. Textiles Mills</t>
  </si>
  <si>
    <t>CD. Wearing Apparel and Clothing Accessories Manufacturing</t>
  </si>
  <si>
    <t>CE. Leather, Fur and Related Products Manufacturing</t>
  </si>
  <si>
    <t>CF. Wood and Bamboo Products Manufacturing</t>
  </si>
  <si>
    <t>CG. Pulp, Paper and Paper Products Manufacturing</t>
  </si>
  <si>
    <t>CH. Printing and Reproductiom of Recorded Media</t>
  </si>
  <si>
    <t>CI. Petroleum and Coal Products Manufacturing</t>
  </si>
  <si>
    <t>CL.Pharmaceuticals and Medicinal Chemical Products Manufacturing</t>
  </si>
  <si>
    <t>CO. Non-metallic Mineral Products Manufacturing</t>
  </si>
  <si>
    <t>CP. Basic Metal Manufacturing</t>
  </si>
  <si>
    <t>CQ. Fabricated Metal Products Manufacturing</t>
  </si>
  <si>
    <t>CR. Electronic Parts and Components Manufacturing</t>
  </si>
  <si>
    <t>CS. Computers, Electronic and Optical Products Manufacturing</t>
  </si>
  <si>
    <t>CT. Electrical Equipment Manufacturing</t>
  </si>
  <si>
    <t>CU. Machinery and Equipment Manufacturing</t>
  </si>
  <si>
    <t>CV. Motor Vehicles and Parts Manufacturing</t>
  </si>
  <si>
    <t>CW. Other Transport Equipment and Parts Manufacturing</t>
  </si>
  <si>
    <t>DA. Electricity Supply</t>
  </si>
  <si>
    <t>DB. Gas Supply</t>
  </si>
  <si>
    <t>EA. Water Supply</t>
  </si>
  <si>
    <t>EB. Remediation Services( Including Sewage and Waste Management)</t>
  </si>
  <si>
    <t>F. Construction</t>
  </si>
  <si>
    <t>GA. Wholesale Trade</t>
  </si>
  <si>
    <t>GB. Retail Trade</t>
  </si>
  <si>
    <t>HA. Land Transportation</t>
  </si>
  <si>
    <t>HB. Water Transportation</t>
  </si>
  <si>
    <t>HC. Air Transportation</t>
  </si>
  <si>
    <t>HD. Supporting Services to Transportation; Warehousing and Storage</t>
  </si>
  <si>
    <t>HE. Postal and Courier Services</t>
  </si>
  <si>
    <t>IA. Accommodation Services</t>
  </si>
  <si>
    <t>IB. Food and Beverage Services</t>
  </si>
  <si>
    <t>JA. Broadcasting( Including Publishing and Audiovisual Services)</t>
  </si>
  <si>
    <t>JB. Telecommunications</t>
  </si>
  <si>
    <t>JC. IT and Other</t>
  </si>
  <si>
    <t>KA. Financial Intermediation</t>
  </si>
  <si>
    <t>KB. Insurance Carriers</t>
  </si>
  <si>
    <t>KC. Securities, Futures and Other Financing</t>
  </si>
  <si>
    <t>LA. Real Estate, except Ownership of Dwellings</t>
  </si>
  <si>
    <t>LB. Ownership of Dwellings</t>
  </si>
  <si>
    <t>O. Public Administration and Defence；Compulsory Social Security</t>
  </si>
  <si>
    <t>P. Education</t>
  </si>
  <si>
    <t>QA. Human Health Services</t>
  </si>
  <si>
    <t>QB. Social Work Services( Including Residential Care Services)</t>
  </si>
  <si>
    <t xml:space="preserve">R. Arts, Entertainment and Recreation </t>
  </si>
  <si>
    <t>SA. Activities of Membership Organizations</t>
  </si>
  <si>
    <t>SB. Domestic Services</t>
  </si>
  <si>
    <t>SC. Other Services Not Elsewhere Classified</t>
  </si>
  <si>
    <t xml:space="preserve">  A. Agriculture, Forestry, Fishing and Animal Husbandry </t>
  </si>
  <si>
    <t>i01.a;i01.b;i01.c;i01.d;i01.e;i01.f;i01.g;i01.h;i01.i;i01.j;i01.k;i01.l;i01.m;i01.n;i01.o;i02;i05;</t>
  </si>
  <si>
    <t>i30;i32;i33;</t>
  </si>
  <si>
    <t>OriginalName-Time</t>
  </si>
  <si>
    <t xml:space="preserve">   C. Manufacturing</t>
  </si>
  <si>
    <t xml:space="preserve">   D. Electricity and Gas Supply</t>
  </si>
  <si>
    <t xml:space="preserve">   E. Water Supply and Remediation Services</t>
  </si>
  <si>
    <t xml:space="preserve">   G. Wholesale and Retail Trade</t>
  </si>
  <si>
    <t xml:space="preserve">   H. Transportation and Storage</t>
  </si>
  <si>
    <t xml:space="preserve">   I. Accommodation and Food Services</t>
  </si>
  <si>
    <t xml:space="preserve">   J. Information and Communication</t>
  </si>
  <si>
    <t xml:space="preserve">   K. Finance and Insurance </t>
  </si>
  <si>
    <t xml:space="preserve">   L. Real Estate and Ownership of Dwellings</t>
  </si>
  <si>
    <t xml:space="preserve">   Q. Human Health and Social Work Services</t>
  </si>
  <si>
    <t xml:space="preserve">   S. Other Services</t>
  </si>
  <si>
    <t>i40.11.a;i40.11.b;i40.11.c;i40.11.d;i40.11.e;i40.11.f;i40.11.g;i40.11.h;i40.11.i;i40.11.j;i40.11.k;i40.11.l;i40.12;i40.13;i40.2;</t>
  </si>
  <si>
    <t>Table 10 - Annual gross domestic product by industry at constant 2010 prices (R million)</t>
  </si>
  <si>
    <t xml:space="preserve">  Agriculture</t>
  </si>
  <si>
    <t xml:space="preserve">  Forestry</t>
  </si>
  <si>
    <t xml:space="preserve">  Fishing</t>
  </si>
  <si>
    <t xml:space="preserve">  Coal </t>
  </si>
  <si>
    <t xml:space="preserve">  Gold</t>
  </si>
  <si>
    <t xml:space="preserve">  Platinum group metals</t>
  </si>
  <si>
    <t xml:space="preserve">  Other metal ores</t>
  </si>
  <si>
    <r>
      <t xml:space="preserve">  Other mining and quarrying </t>
    </r>
    <r>
      <rPr>
        <u/>
        <vertAlign val="superscript"/>
        <sz val="10"/>
        <rFont val="Calibri"/>
        <family val="2"/>
        <scheme val="minor"/>
      </rPr>
      <t>1</t>
    </r>
    <r>
      <rPr>
        <vertAlign val="superscript"/>
        <sz val="10"/>
        <rFont val="Calibri"/>
        <family val="2"/>
        <scheme val="minor"/>
      </rPr>
      <t>/</t>
    </r>
  </si>
  <si>
    <t xml:space="preserve">  Food, beverages and tobacco</t>
  </si>
  <si>
    <t xml:space="preserve">  Textiles, clothing and leather goods</t>
  </si>
  <si>
    <t xml:space="preserve">  Wood and paper; publishing and printing</t>
  </si>
  <si>
    <t xml:space="preserve">  Petroleum products, chemicals, rubber and  plastic</t>
  </si>
  <si>
    <t xml:space="preserve">  Other non-metal mineral products</t>
  </si>
  <si>
    <t xml:space="preserve">  Metals, metal products, machinery and equipment</t>
  </si>
  <si>
    <t xml:space="preserve">  Electrical machinery and apparatus</t>
  </si>
  <si>
    <t xml:space="preserve">  Radio, TV, instruments, watches and clocks</t>
  </si>
  <si>
    <t xml:space="preserve">  Transport equipment</t>
  </si>
  <si>
    <r>
      <t xml:space="preserve">  Furniture; other manufacturing </t>
    </r>
    <r>
      <rPr>
        <u/>
        <vertAlign val="superscript"/>
        <sz val="10"/>
        <rFont val="Calibri"/>
        <family val="2"/>
        <scheme val="minor"/>
      </rPr>
      <t>1</t>
    </r>
    <r>
      <rPr>
        <vertAlign val="superscript"/>
        <sz val="10"/>
        <rFont val="Calibri"/>
        <family val="2"/>
        <scheme val="minor"/>
      </rPr>
      <t>/</t>
    </r>
  </si>
  <si>
    <t xml:space="preserve">  Electricity and gas</t>
  </si>
  <si>
    <t xml:space="preserve">  Water</t>
  </si>
  <si>
    <t>Construction</t>
  </si>
  <si>
    <t xml:space="preserve">  Wholesale trade</t>
  </si>
  <si>
    <r>
      <t xml:space="preserve">  Retail trade; repair of household goods </t>
    </r>
    <r>
      <rPr>
        <u/>
        <vertAlign val="superscript"/>
        <sz val="10"/>
        <rFont val="Calibri"/>
        <family val="2"/>
        <scheme val="minor"/>
      </rPr>
      <t>1</t>
    </r>
    <r>
      <rPr>
        <vertAlign val="superscript"/>
        <sz val="10"/>
        <rFont val="Calibri"/>
        <family val="2"/>
        <scheme val="minor"/>
      </rPr>
      <t>/</t>
    </r>
  </si>
  <si>
    <t xml:space="preserve">  Motor trade; repair of motor vehicles</t>
  </si>
  <si>
    <t xml:space="preserve">  Catering and accommodation</t>
  </si>
  <si>
    <r>
      <t xml:space="preserve">  Transport </t>
    </r>
    <r>
      <rPr>
        <u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>/</t>
    </r>
  </si>
  <si>
    <t xml:space="preserve">  Communication</t>
  </si>
  <si>
    <t xml:space="preserve">  Finance and insurance</t>
  </si>
  <si>
    <t xml:space="preserve">  Real estate</t>
  </si>
  <si>
    <r>
      <t xml:space="preserve">  Business services </t>
    </r>
    <r>
      <rPr>
        <u/>
        <vertAlign val="superscript"/>
        <sz val="10"/>
        <rFont val="Calibri"/>
        <family val="2"/>
        <scheme val="minor"/>
      </rPr>
      <t>1</t>
    </r>
    <r>
      <rPr>
        <vertAlign val="superscript"/>
        <sz val="10"/>
        <rFont val="Calibri"/>
        <family val="2"/>
        <scheme val="minor"/>
      </rPr>
      <t>/</t>
    </r>
  </si>
  <si>
    <r>
      <t>Personal services</t>
    </r>
    <r>
      <rPr>
        <vertAlign val="superscript"/>
        <sz val="10"/>
        <rFont val="Calibri"/>
        <family val="2"/>
        <scheme val="minor"/>
      </rPr>
      <t xml:space="preserve"> </t>
    </r>
    <r>
      <rPr>
        <u/>
        <vertAlign val="superscript"/>
        <sz val="10"/>
        <rFont val="Calibri"/>
        <family val="2"/>
        <scheme val="minor"/>
      </rPr>
      <t>1/</t>
    </r>
  </si>
  <si>
    <t>ZA_EXIOBASE1</t>
  </si>
  <si>
    <t>TW_EXIOBASE1</t>
  </si>
  <si>
    <t>i10;i11.a;i11.b;i11.c;i12;i13.1;i13.20.11;i13.20.12;i13.20.13;i13.20.14;i13.20.15;i13.20.16;i14.1;i14.2;i14.3;</t>
  </si>
  <si>
    <t>i17;i18;i19;</t>
  </si>
  <si>
    <t>i23.1;i23.2;i23.3;i24.1;i24.1.w;i24.2;i24.3;i24.4;i25;</t>
  </si>
  <si>
    <t>i50.a;i50.b;i51;i52;i55;</t>
  </si>
  <si>
    <t>i65;i66;i67;i70;i71;i72;i73;i74;</t>
  </si>
  <si>
    <t>i20;i20.w;i21.1;i21.w.1;i21.2;i22;</t>
  </si>
  <si>
    <t>Agriculture, hunting and related service activities</t>
  </si>
  <si>
    <t>Forestry, logging and related service activities</t>
  </si>
  <si>
    <t>Fishing,  fish farming and related service activities</t>
  </si>
  <si>
    <t>Mining of coal and lignite; extraction of peat</t>
  </si>
  <si>
    <t>Extraction of crude petroleum and natural gas; service activities incidental to oil and gas extraction, excluding surveying</t>
  </si>
  <si>
    <t>Mining of uranium and thorium ores</t>
  </si>
  <si>
    <t>Mining of metal ores</t>
  </si>
  <si>
    <t>Other mining and quarrying</t>
  </si>
  <si>
    <t>Manufacture of food products and beverages</t>
  </si>
  <si>
    <t>Manufacture of tobacco products</t>
  </si>
  <si>
    <t>Manufacture of textiles</t>
  </si>
  <si>
    <t>Manufacture of wearing apparel; dressing and dyeing of fur</t>
  </si>
  <si>
    <t>Tanning and dressing of leather; manufacture of luggage, handbags, saddlery, harness and footwear</t>
  </si>
  <si>
    <t>Manufacture of wood and of products of wood and cork, except furniture; manufacture of articles of straw and plaiting materials</t>
  </si>
  <si>
    <t>Manufacture of pulp, paper and paper products</t>
  </si>
  <si>
    <t>Publishing, printing and reproduction of recorded media</t>
  </si>
  <si>
    <t>Publishing</t>
  </si>
  <si>
    <t>Printing and service activities related to printing; Reproduction of recorded media</t>
  </si>
  <si>
    <t>Manufacture of coke oven products; Manufacture of refined petroleum products</t>
  </si>
  <si>
    <t>Manufacture of chemicals and chemical products (excluding Manufacture of explosives)</t>
  </si>
  <si>
    <t>Manufacture of chemicals and chemical products (excluding Manufacture of explosives) without Manufacture of pharmaceuticals, medicinal chemicals and botanical products</t>
  </si>
  <si>
    <t>Manufacture of pharmaceuticals, medicinal chemicals and botanical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</si>
  <si>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</si>
  <si>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</si>
  <si>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</si>
  <si>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</si>
  <si>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 n.e.c. (excluding Manufacture of weapons and ammunition)</t>
  </si>
  <si>
    <t>Manufacture of office machinery and computers</t>
  </si>
  <si>
    <t>Manufacture of electrical machinery and apparatus n.e.c.</t>
  </si>
  <si>
    <t>Manufacture of electrical machinery and apparatus n.e.c. without Manufacture of insulated wire and cable</t>
  </si>
  <si>
    <t>Manufacture of insulated wire and cable</t>
  </si>
  <si>
    <t>Manufacture of radio, television and communication equipment and apparatus</t>
  </si>
  <si>
    <t>Manufacture of electronic valves and tubes and other electronic components; Manufacture of television and radio transmitters and apparatus for line telephony and line telegraphy</t>
  </si>
  <si>
    <t>Manufacture of television and radio receivers, sound or video recording or reproducing apparatus and associated goods</t>
  </si>
  <si>
    <t>Manufacture of medical, precision and optical instruments, watches and clocks</t>
  </si>
  <si>
    <t>Manufacture of medical and surgical equipment and orthopaedic appliances; Manufacture of instruments and appliances for measuring, checking, testing, navigating and other purposes, except industrial process control equipment; Manufacture of industrial process control equipment</t>
  </si>
  <si>
    <t>Manufacture of optical instruments and photographic equipment; Manufacture of watches and clocks</t>
  </si>
  <si>
    <t>Manufacture of motor vehicles, trailers and semi-trailers</t>
  </si>
  <si>
    <t>Manufacture of other transport equipment</t>
  </si>
  <si>
    <t>Building and repairing of ships and boats</t>
  </si>
  <si>
    <t>Manufacture of aircraft and spacecraft</t>
  </si>
  <si>
    <t>Manufacture of railway and tramway locomotives and rolling stock; Manufacture of motorcycles and bicycles; Manufacture of other transport equipment n.e.c.</t>
  </si>
  <si>
    <t>Manufacture of furniture; manufacturing n.e.c.</t>
  </si>
  <si>
    <t>Other production (Recycling; Processing of nuclear fuel; Manufacture of explosives; Manufacture of weapons and ammunition)</t>
  </si>
  <si>
    <t>Electricity, gas, steam and hot water supply</t>
  </si>
  <si>
    <t>Production and distribution of electricity</t>
  </si>
  <si>
    <t>Collection, purification and distribution of water</t>
  </si>
  <si>
    <t>Sale, maintenance and repair of motor vehicles and motorcycles</t>
  </si>
  <si>
    <t>Wholesale trade and commission trade, except of motor vehicles and motorcycles</t>
  </si>
  <si>
    <t>Retail trade, except of motor vehicles and motorcycles; repair of personal and household goods; Retail sale of automotive fuel</t>
  </si>
  <si>
    <t>Hotels and restaurants</t>
  </si>
  <si>
    <t>Transport, storage</t>
  </si>
  <si>
    <t>Land transport; transport via pipelines</t>
  </si>
  <si>
    <t>Water transport</t>
  </si>
  <si>
    <t>Air transport</t>
  </si>
  <si>
    <t>Supporting and auxiliary transport activities; activities of travel agencies</t>
  </si>
  <si>
    <t>Post and telecommunications</t>
  </si>
  <si>
    <t>Financial intermediation, except insurance and pension funding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</si>
  <si>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</si>
  <si>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</si>
  <si>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</si>
  <si>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 and of personal and household goods</t>
  </si>
  <si>
    <t>Computer and related activities</t>
  </si>
  <si>
    <t>Research and development</t>
  </si>
  <si>
    <t>Other business activities</t>
  </si>
  <si>
    <t>Legal, accounting, book-keeping and auditing activities; tax consultancy; market research and public opinion polling; business and management consultancy; holdings; Architectural and engineering activities and related technical consultancy; Technical testing and analysis; Advertising</t>
  </si>
  <si>
    <t>Labour recruitment and provision of personnel; Investigation and security activities; Industrial cleaning; Miscellaneous business activities n.e.c.</t>
  </si>
  <si>
    <t>Public administration and defence; compulsory social security</t>
  </si>
  <si>
    <t>Education</t>
  </si>
  <si>
    <t>Health and social work</t>
  </si>
  <si>
    <t>Sewage and refuse disposal, sanitation and similar activities</t>
  </si>
  <si>
    <t>Activities of membership organizations n.e.c.</t>
  </si>
  <si>
    <t>Other service activities</t>
  </si>
  <si>
    <t>Activities of households as employers of domestic staff</t>
  </si>
  <si>
    <t>AGRICULTURE, HUNTING, FORESTRY AND FISHING</t>
  </si>
  <si>
    <t>AtB</t>
  </si>
  <si>
    <t>MINING AND QUARRYING***</t>
  </si>
  <si>
    <t>TOTAL MANUFACTURING</t>
  </si>
  <si>
    <t>FOOD , BEVERAGES AND TOBACCO</t>
  </si>
  <si>
    <t>15t16</t>
  </si>
  <si>
    <t>TEXTILES, TEXTILE , LEATHER AND FOOTWEAR</t>
  </si>
  <si>
    <t>17t19</t>
  </si>
  <si>
    <t>Textiles and textile</t>
  </si>
  <si>
    <t>17t18</t>
  </si>
  <si>
    <t>19</t>
  </si>
  <si>
    <t>20</t>
  </si>
  <si>
    <t>PULP, PAPER, PAPER , PRINTING AND PUBLISHING</t>
  </si>
  <si>
    <t>21t22</t>
  </si>
  <si>
    <t>CHEMICAL, RUBBER, PLASTICS AND FUEL</t>
  </si>
  <si>
    <t>23t25</t>
  </si>
  <si>
    <t>23</t>
  </si>
  <si>
    <t>Chemicals and chemical products</t>
  </si>
  <si>
    <t>25</t>
  </si>
  <si>
    <t>BASIC METALS AND FABRICATED METAL</t>
  </si>
  <si>
    <t>27t28</t>
  </si>
  <si>
    <t>29</t>
  </si>
  <si>
    <t>ELECTRICAL AND OPTICAL EQUIPMENT</t>
  </si>
  <si>
    <t>30t33</t>
  </si>
  <si>
    <t>Motor vehicles, trailers and semi-trailers;  Other transport equipment</t>
  </si>
  <si>
    <t>34t35</t>
  </si>
  <si>
    <t>MANUFACTURING NEC; RECYCLING</t>
  </si>
  <si>
    <t>36t37</t>
  </si>
  <si>
    <t>ELECTRICITY, GAS AND WATER SUPPLY</t>
  </si>
  <si>
    <t>WHOLESALE AND RETAIL TRADE</t>
  </si>
  <si>
    <t>50</t>
  </si>
  <si>
    <t>51</t>
  </si>
  <si>
    <t>52</t>
  </si>
  <si>
    <t>TRANSPORT AND STORAGE AND COMMUNICATION</t>
  </si>
  <si>
    <t>60t63</t>
  </si>
  <si>
    <t>60</t>
  </si>
  <si>
    <t>61</t>
  </si>
  <si>
    <t>62</t>
  </si>
  <si>
    <t>63</t>
  </si>
  <si>
    <t>64</t>
  </si>
  <si>
    <t>FINANCE, INSURANCE, REAL ESTATE AND BUSINESS SERVICES</t>
  </si>
  <si>
    <t>JtK</t>
  </si>
  <si>
    <t>FINANCIAL INTERMEDIATION</t>
  </si>
  <si>
    <t>REAL ESTATE, RENTING AND BUSINESS ACTIVITIES</t>
  </si>
  <si>
    <t>70</t>
  </si>
  <si>
    <t>Renting of m&amp;eq and other business activities</t>
  </si>
  <si>
    <t>71t74</t>
  </si>
  <si>
    <t>COMMUNITY SOCIAL AND PERSONAL SERVICES</t>
  </si>
  <si>
    <t>LtQ</t>
  </si>
  <si>
    <t>OTHER COMMUNITY, SOCIAL AND PERSONAL SERVICES</t>
  </si>
  <si>
    <t>01</t>
  </si>
  <si>
    <t>02</t>
  </si>
  <si>
    <t>05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</si>
  <si>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</si>
  <si>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</si>
  <si>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</si>
  <si>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</si>
  <si>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</si>
  <si>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</si>
  <si>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</si>
  <si>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</si>
  <si>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</si>
  <si>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21</t>
  </si>
  <si>
    <t>22</t>
  </si>
  <si>
    <t>22.1</t>
  </si>
  <si>
    <t>22.2+22.3</t>
  </si>
  <si>
    <t>24 без 24.61</t>
  </si>
  <si>
    <t>24-24.4-24.61</t>
  </si>
  <si>
    <t>24.4</t>
  </si>
  <si>
    <t>27</t>
  </si>
  <si>
    <t>28</t>
  </si>
  <si>
    <t>30</t>
  </si>
  <si>
    <t>31</t>
  </si>
  <si>
    <t>31-31.3</t>
  </si>
  <si>
    <t>31.3</t>
  </si>
  <si>
    <t>32</t>
  </si>
  <si>
    <t>32.1+32.2</t>
  </si>
  <si>
    <t>32.3</t>
  </si>
  <si>
    <t>33</t>
  </si>
  <si>
    <t>33.1+33.2+33.3</t>
  </si>
  <si>
    <t>33.4+33.5</t>
  </si>
  <si>
    <t>34</t>
  </si>
  <si>
    <t>35</t>
  </si>
  <si>
    <t>35.1</t>
  </si>
  <si>
    <t>35.3</t>
  </si>
  <si>
    <t>35.2+35.4+35.5</t>
  </si>
  <si>
    <t>36</t>
  </si>
  <si>
    <t xml:space="preserve">37+23.3+24.61+29.6 </t>
  </si>
  <si>
    <t>40</t>
  </si>
  <si>
    <t>40.1</t>
  </si>
  <si>
    <t>40.2</t>
  </si>
  <si>
    <t>40.3</t>
  </si>
  <si>
    <t>41</t>
  </si>
  <si>
    <t>65</t>
  </si>
  <si>
    <t>66</t>
  </si>
  <si>
    <t>67</t>
  </si>
  <si>
    <t>71</t>
  </si>
  <si>
    <t>72</t>
  </si>
  <si>
    <t>73</t>
  </si>
  <si>
    <t>74</t>
  </si>
  <si>
    <t xml:space="preserve">   74.1+74.2+74.3+74.4</t>
  </si>
  <si>
    <t>74.5+74.6+74.7+74.8</t>
  </si>
  <si>
    <t>90</t>
  </si>
  <si>
    <t>91</t>
  </si>
  <si>
    <t>93</t>
  </si>
  <si>
    <t>i15.a;i15.b;i15.c;i15.d;i15.e;i15.f;i15.g;i15.h;i15.i;i15.j;i15.k;i16;i17;i18;i19;i20;i20.w;i21.1;i21.w.1;i21.2;i22;i23.1;i23.2;i23.3;i24.1;i24.1.w;i24.2;i24.3;i24.4;i25;i26.a;i26.w.1;i26.b;i26.c;i26.d;i26.d.w;i26.e;i27.a;i27.a.w;i27.41;i27.41.w;i27.42;i27.42.w;i27.43;i27.43.w;i27.44;i27.44.w;i27.45;i27.45.w;i27.5;i28;i29;i30;i31;i32;i33;i34;i35;i36;i37;i37.w.1;</t>
  </si>
  <si>
    <t>i75;i99;</t>
  </si>
  <si>
    <t>i60.1;i60.2;i60.3;i61.1;i61.2;i62;i64;</t>
  </si>
  <si>
    <t>i90.1.a;i90.1.b;i90.1.c;i90.1.d;i90.1.e;i90.1.f;i90.1.g;i90.3.a;i90.3.b;i90.3.c;i90.4.a;i90.4.b;i90.5.a;i90.5.b;i90.6.a;i90.6.b;i90.6.c;i90.6.d;i90.6.e;i90.6.f;i91;i92;i92;i93;</t>
  </si>
  <si>
    <t>RU_EXIOBASE1</t>
  </si>
  <si>
    <t>i75;i99;i80;i85;i90.1.a;i90.1.b;i90.1.c;i90.1.d;i90.1.e;i90.1.f;i90.1.g;i90.3.a;i90.3.b;i90.3.c;i90.4.a;i90.4.b;i90.5.a;i90.5.b;i90.6.a;i90.6.b;i90.6.c;i90.6.d;i90.6.e;i90.6.f;i91;i92;i92;i93;i95;</t>
  </si>
  <si>
    <t>OriginalCode</t>
  </si>
  <si>
    <t xml:space="preserve">Total Economy (million yuan) </t>
  </si>
  <si>
    <t>TT</t>
  </si>
  <si>
    <t>Agriculture, Hunting, Forestry and Fishing</t>
  </si>
  <si>
    <t>Mining and Quarrying</t>
  </si>
  <si>
    <t>Food, Beverages and Tobacco</t>
  </si>
  <si>
    <t>Textiles and Textile Products</t>
  </si>
  <si>
    <t>Leather, Leather and Footwear</t>
  </si>
  <si>
    <t>Wood and Products of Wood and Cork</t>
  </si>
  <si>
    <t>Pulp, Paper, Paper , Printing and Publishing</t>
  </si>
  <si>
    <t>Coke, Refined Petroleum and Nuclear Fuel</t>
  </si>
  <si>
    <t>Chemicals and Chemical Products</t>
  </si>
  <si>
    <t>Rubber and Plastics</t>
  </si>
  <si>
    <t>Other Non-Metallic Mineral</t>
  </si>
  <si>
    <t>Basic Metals and Fabricated Metal</t>
  </si>
  <si>
    <t>Machinery, Nec</t>
  </si>
  <si>
    <t>Electrical and Optical Equipment</t>
  </si>
  <si>
    <t>Transport Equipment</t>
  </si>
  <si>
    <t>Manufacturing, Nec; Recycling</t>
  </si>
  <si>
    <t>Electricity, Gas and Water Supply</t>
  </si>
  <si>
    <t>Sale, Maintenance and Repair of Motor Vehicles and Motorcycles; Retail Sale of Fuel</t>
  </si>
  <si>
    <t>50t52</t>
  </si>
  <si>
    <t>Hotels and Restaurants</t>
  </si>
  <si>
    <t>Inland Transport</t>
  </si>
  <si>
    <t>Water Transport</t>
  </si>
  <si>
    <t>Air Transport</t>
  </si>
  <si>
    <t>Other Supporting and Auxiliary Transport Activities; Activities of Travel Agencies</t>
  </si>
  <si>
    <t>Post and Telecommunications</t>
  </si>
  <si>
    <t>Financial Intermediation</t>
  </si>
  <si>
    <t>Real Estate Activities</t>
  </si>
  <si>
    <t>Renting of M&amp;Eq and Other Business Activities</t>
  </si>
  <si>
    <t>Public Admin and Defence; Compulsory Social Security</t>
  </si>
  <si>
    <t>Health and Social Work</t>
  </si>
  <si>
    <t>Other Community, Social and Personal Services</t>
  </si>
  <si>
    <t>Private Households with Employed Persons</t>
  </si>
  <si>
    <t>CN_EXIOBASE1</t>
  </si>
  <si>
    <t>i24.4;</t>
  </si>
  <si>
    <t>i27.41;i27.41.w;i27.42;i27.42.w;i27.43;i27.43.w;i27.44;i27.44.w;i27.45;i27.45.w;i27.5;</t>
  </si>
  <si>
    <t>i75;i80;i85;i90.1.a;i90.1.b;i90.1.c;i90.1.d;i90.1.e;i90.1.f;i90.1.g;i90.3.a;i90.3.b;i90.3.c;i90.4.a;i90.4.b;i90.5.a;i90.5.b;i90.6.a;i90.6.b;i90.6.c;i90.6.d;i90.6.e;i90.6.f;i91;i92;i93;i95;i99</t>
  </si>
  <si>
    <t>i75;i80;i85;i90.1.a;i90.1.b;i90.1.c;i90.1.d;i90.1.e;i90.1.f;i90.1.g;i90.3.a;i90.3.b;i90.3.c;i90.4.a;i90.4.b;i90.5.a;i90.5.b;i90.6.a;i90.6.b;i90.6.c;i90.6.d;i90.6.e;i90.6.f;i91;i92;i93;i95;i99;</t>
  </si>
  <si>
    <t>i10;i11.a;i11.b;i11.c;i12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90.1.a;i90.1.b;i90.1.c;i90.1.d;i90.1.e;i90.1.f;i90.1.g;i90.3.a;i90.3.b;i90.3.c;i90.4.a;i90.4.b;i90.5.a;i90.5.b;i90.6.a;i90.6.b;i90.6.c;i90.6.d;i90.6.e;i90.6.f;</t>
  </si>
  <si>
    <t>i13.1</t>
  </si>
  <si>
    <t>i10;12;i13.20.11;i13.20.12;i13.20.13;i13.20.14;i13.20.15;i13.20.16;i14.1;i14.2;i14.3;</t>
  </si>
  <si>
    <t>i32</t>
  </si>
  <si>
    <t>i36;i37;i37.w.1</t>
  </si>
  <si>
    <t>i40.11.a;i40.11.b;i40.11.c;i40.11.d;i40.11.e;i40.11.f;i40.11.g;i40.11.h;i40.11.i;i40.11.j;i40.11.k;i40.11.l;i40.12;i40.13;i40.2;i40.3;i41;i90.1.a;i90.1.b;i90.1.c;i90.1.d;i90.1.e;i90.1.f;i90.1.g;i90.3.a;i90.3.b;i90.3.c;i90.4.a;i90.4.b;i90.5.a;i90.5.b;i90.6.a;i90.6.b;i90.6.c;i90.6.d;i90.6.e;i90.6.f;</t>
  </si>
  <si>
    <t>i50.a;i50.b;i51;i52;i55;i60.1;i60.2;i60.3;i61.1;i61.2;i62;i63;i64;i65;i66;i67;i70;i71;i72;i73;i74;i75;i80;i85;i91;i92;i93;i95;</t>
  </si>
  <si>
    <t>i73;i74;</t>
  </si>
  <si>
    <t>i92;i93;i95;</t>
  </si>
  <si>
    <t>i18</t>
  </si>
  <si>
    <t>i10;i11.a;i11.b;i11.c;</t>
  </si>
  <si>
    <t>i13.20.16;</t>
  </si>
  <si>
    <t>i13.20.13;</t>
  </si>
  <si>
    <t>i13.20.12;13.20.14;i13.20.15;i13.20.16;</t>
  </si>
  <si>
    <t>i10;i11.a;i11.b;i11.c;i13.1;i13.20.11;i13.20.12;i13.20.13;i13.20.14;i13.20.15;i13.20.16;i14.1;i14.2;i14.3;</t>
  </si>
  <si>
    <t>i23.1;i23.2;i23.3;i25;</t>
  </si>
  <si>
    <t>i28;i29;i30;</t>
  </si>
  <si>
    <t>i32;i33;i36;i37;i37.w.1;</t>
  </si>
  <si>
    <t>i50.a;i50.b;i51;i52;i55</t>
  </si>
  <si>
    <t>i60.2;i60.3;</t>
  </si>
  <si>
    <t>i70;i71;i72;i74;</t>
  </si>
  <si>
    <t>i75;i95;</t>
  </si>
  <si>
    <t>i60.2;i60.3;i61.1;i61.2;i62;</t>
  </si>
  <si>
    <t>i80;i85;i90.1.a;i90.1.b;i90.1.c;i90.1.d;i90.1.e;i90.1.f;i90.1.g;i90.3.a;i90.3.b;i90.3.c;i90.4.a;i90.4.b;i90.5.a;i90.5.b;i90.6.a;i90.6.b;i90.6.c;i90.6.d;i90.6.e;i90.6.f;i91;i92;i93;i95;</t>
  </si>
  <si>
    <t>i75;i99</t>
  </si>
  <si>
    <t>i40.3;i41;i90.1.a;i90.1.b;i90.1.c;i90.1.d;i90.1.e;i90.1.f;i90.1.g;i90.3.a;i90.3.b;i90.3.c;i90.4.a;i90.4.b;i90.5.a;i90.5.b;i90.6.a;i90.6.b;i90.6.c;i90.6.d;i90.6.e;i90.6.f;</t>
  </si>
  <si>
    <t>i50.a;i50.b;i52;</t>
  </si>
  <si>
    <t>i60.1;i60.2;i60.3;i61.1;i61.2;i62;i63;i64</t>
  </si>
  <si>
    <t>i22;i92;</t>
  </si>
  <si>
    <t>i22;i64;i72;i92;</t>
  </si>
  <si>
    <t>i11.a;i11.b;i11.c;i12;i14.1;i14.2;i14.3;</t>
  </si>
  <si>
    <t>i27.a;i27.a.w;i27.41;i27.41.w;i27.42;i27.42.w;i27.43;i27.43.w;i27.44;i27.44.w;i27.45;i27.45.w;i27.5;i28;i29;</t>
  </si>
  <si>
    <t>i30;i31;</t>
  </si>
  <si>
    <t>i32;i33;</t>
  </si>
  <si>
    <t>i75;i99;i80;i85;i90.1.a;i90.1.b;i90.1.c;i90.1.d;i90.1.e;i90.1.f;i90.1.g;i90.3.a;i90.3.b;i90.3.c;i90.4.a;i90.4.b;i90.5.a;i90.5.b;i90.6.a;i90.6.b;i90.6.c;i90.6.d;i90.6.e;i90.6.f;</t>
  </si>
  <si>
    <t>i91;i92;i93;i95;</t>
  </si>
  <si>
    <t>Total Economy</t>
  </si>
  <si>
    <t>TOTAL</t>
  </si>
  <si>
    <t>i91;i95;i93</t>
  </si>
  <si>
    <t>i40.11.a;i40.11.b;i40.11.c;i40.11.d;i40.11.e;i40.11.f;i40.11.g;i40.11.h;i40.11.i;i40.11.j;i40.11.k;i40.11.l;i40.12;i40.13;i40.2;i40.3</t>
  </si>
  <si>
    <t>Total of Manufacturing</t>
  </si>
  <si>
    <t>15t37</t>
  </si>
  <si>
    <t>      Machinery and equipment, including maintenance and repairs, Appliances</t>
  </si>
  <si>
    <t>0324t3025</t>
  </si>
  <si>
    <t>3030t3032</t>
  </si>
  <si>
    <t xml:space="preserve">     Automóveis, camionetas e utilitários     Caminhões e ônibus     Peças e acessórios para veículos automotores</t>
  </si>
  <si>
    <t>CMtCN</t>
  </si>
  <si>
    <t>CMtCN. Rubber Plastic  Products Manufacturing</t>
  </si>
  <si>
    <t>CJtCK.Chemical Material, products Manufacturing</t>
  </si>
  <si>
    <t>CJtCK</t>
  </si>
  <si>
    <t>CXtCY. Furniture Manufacturing Other Manufacturing( Including Repair and Installation of Industrial Machinery and Equipment)</t>
  </si>
  <si>
    <t>CXtCY</t>
  </si>
  <si>
    <t>coal and lignite</t>
  </si>
  <si>
    <t>i73;i80;i85;i91;</t>
  </si>
  <si>
    <t>government services</t>
  </si>
  <si>
    <t>M&amp;NB Other Support Services</t>
  </si>
  <si>
    <t>N. Rental and Leasing</t>
  </si>
  <si>
    <t>services incidental to transport and STORAGE</t>
  </si>
  <si>
    <t>recreation &amp; entertainment services radio &amp; TV broadcasting</t>
  </si>
  <si>
    <t>2t3</t>
  </si>
  <si>
    <t>personal services, services/activities n.e.c.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</si>
</sst>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#,##0_]"/>
    <numFmt numFmtId="166" formatCode="0.0_]"/>
  </numFmts>
  <fonts count="21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u/>
      <sz val="8"/>
      <name val="Verdana"/>
      <family val="2"/>
    </font>
    <font>
      <sz val="11"/>
      <color rgb="FF9C0006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Times New Roman"/>
      <family val="1"/>
    </font>
    <font>
      <u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u/>
      <sz val="10"/>
      <name val="Calibri"/>
      <family val="2"/>
      <scheme val="minor"/>
    </font>
    <font>
      <sz val="11"/>
      <name val="ＭＳ Ｐゴシック"/>
      <family val="3"/>
      <charset val="128"/>
    </font>
    <font>
      <i/>
      <sz val="10"/>
      <name val="Calibri"/>
      <family val="2"/>
      <scheme val="minor"/>
    </font>
    <font>
      <sz val="12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rgb="FFC4D8ED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8">
    <xf numFmtId="0" fontId="0" fillId="0" borderId="0"/>
    <xf numFmtId="0" fontId="1" fillId="0" borderId="0"/>
    <xf numFmtId="0" fontId="7" fillId="3" borderId="0" applyNumberFormat="0" applyBorder="0" applyAlignment="0" applyProtection="0"/>
    <xf numFmtId="0" fontId="2" fillId="0" borderId="0"/>
    <xf numFmtId="0" fontId="14" fillId="0" borderId="0"/>
    <xf numFmtId="0" fontId="2" fillId="0" borderId="0"/>
    <xf numFmtId="0" fontId="18" fillId="0" borderId="0">
      <alignment vertical="center"/>
    </xf>
    <xf numFmtId="0" fontId="20" fillId="0" borderId="0"/>
  </cellStyleXfs>
  <cellXfs count="71">
    <xf numFmtId="0" fontId="0" fillId="0" borderId="0" xfId="0"/>
    <xf numFmtId="0" fontId="0" fillId="0" borderId="0" xfId="0" applyFill="1" applyBorder="1"/>
    <xf numFmtId="0" fontId="3" fillId="0" borderId="0" xfId="0" applyFont="1" applyFill="1" applyBorder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vertical="top" wrapText="1"/>
    </xf>
    <xf numFmtId="0" fontId="0" fillId="0" borderId="0" xfId="0" applyFont="1" applyFill="1" applyBorder="1"/>
    <xf numFmtId="0" fontId="0" fillId="0" borderId="0" xfId="0" applyFont="1" applyFill="1" applyAlignment="1">
      <alignment wrapText="1"/>
    </xf>
    <xf numFmtId="164" fontId="11" fillId="0" borderId="0" xfId="3" applyNumberFormat="1" applyFont="1" applyFill="1" applyBorder="1" applyAlignment="1">
      <alignment horizontal="centerContinuous" vertical="center"/>
    </xf>
    <xf numFmtId="164" fontId="11" fillId="0" borderId="0" xfId="3" applyNumberFormat="1" applyFont="1" applyFill="1" applyBorder="1" applyAlignment="1">
      <alignment horizontal="centerContinuous"/>
    </xf>
    <xf numFmtId="0" fontId="11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0" fillId="0" borderId="0" xfId="0" applyFont="1" applyFill="1" applyBorder="1"/>
    <xf numFmtId="0" fontId="11" fillId="0" borderId="0" xfId="0" applyFont="1" applyFill="1" applyBorder="1"/>
    <xf numFmtId="0" fontId="9" fillId="0" borderId="0" xfId="0" applyFont="1" applyFill="1"/>
    <xf numFmtId="0" fontId="9" fillId="0" borderId="0" xfId="1" applyNumberFormat="1" applyFont="1" applyFill="1" applyBorder="1" applyAlignment="1">
      <alignment vertical="center"/>
    </xf>
    <xf numFmtId="0" fontId="13" fillId="0" borderId="0" xfId="0" applyFont="1" applyFill="1" applyBorder="1"/>
    <xf numFmtId="0" fontId="9" fillId="0" borderId="0" xfId="0" applyFont="1" applyFill="1" applyBorder="1"/>
    <xf numFmtId="0" fontId="13" fillId="0" borderId="0" xfId="1" applyNumberFormat="1" applyFont="1" applyFill="1" applyBorder="1" applyAlignment="1">
      <alignment vertical="center" wrapText="1"/>
    </xf>
    <xf numFmtId="0" fontId="9" fillId="0" borderId="0" xfId="0" applyNumberFormat="1" applyFont="1" applyFill="1" applyBorder="1" applyAlignment="1"/>
    <xf numFmtId="0" fontId="9" fillId="0" borderId="0" xfId="0" applyFont="1" applyFill="1" applyBorder="1" applyAlignment="1">
      <alignment vertical="top" wrapText="1"/>
    </xf>
    <xf numFmtId="0" fontId="9" fillId="0" borderId="0" xfId="1" applyFont="1" applyFill="1" applyBorder="1" applyAlignment="1">
      <alignment horizontal="left" vertical="center"/>
    </xf>
    <xf numFmtId="0" fontId="13" fillId="0" borderId="0" xfId="1" applyNumberFormat="1" applyFont="1" applyFill="1" applyBorder="1" applyAlignment="1">
      <alignment vertical="center"/>
    </xf>
    <xf numFmtId="0" fontId="13" fillId="0" borderId="0" xfId="1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10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1" fontId="11" fillId="0" borderId="0" xfId="2" applyNumberFormat="1" applyFont="1" applyFill="1" applyBorder="1" applyAlignment="1">
      <alignment vertical="center"/>
    </xf>
    <xf numFmtId="0" fontId="10" fillId="0" borderId="0" xfId="2" applyFont="1" applyFill="1" applyBorder="1" applyAlignment="1">
      <alignment vertical="center"/>
    </xf>
    <xf numFmtId="0" fontId="10" fillId="0" borderId="0" xfId="2" applyFont="1" applyFill="1" applyBorder="1" applyAlignment="1">
      <alignment vertical="center" wrapText="1"/>
    </xf>
    <xf numFmtId="0" fontId="4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10" fillId="0" borderId="0" xfId="0" applyFont="1" applyFill="1" applyBorder="1" applyAlignment="1"/>
    <xf numFmtId="0" fontId="11" fillId="0" borderId="0" xfId="0" applyFont="1" applyFill="1" applyBorder="1" applyAlignment="1"/>
    <xf numFmtId="1" fontId="2" fillId="0" borderId="0" xfId="0" applyNumberFormat="1" applyFont="1" applyFill="1" applyBorder="1" applyAlignment="1">
      <alignment vertical="center"/>
    </xf>
    <xf numFmtId="1" fontId="13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horizontal="left" vertical="center" wrapText="1"/>
    </xf>
    <xf numFmtId="165" fontId="13" fillId="0" borderId="0" xfId="0" applyNumberFormat="1" applyFont="1" applyFill="1" applyBorder="1" applyAlignment="1">
      <alignment horizontal="left" vertical="center" wrapText="1"/>
    </xf>
    <xf numFmtId="165" fontId="9" fillId="0" borderId="0" xfId="0" applyNumberFormat="1" applyFont="1" applyFill="1" applyBorder="1" applyAlignment="1"/>
    <xf numFmtId="166" fontId="9" fillId="0" borderId="0" xfId="0" applyNumberFormat="1" applyFont="1" applyFill="1" applyBorder="1" applyAlignment="1"/>
    <xf numFmtId="0" fontId="17" fillId="0" borderId="0" xfId="0" applyNumberFormat="1" applyFont="1" applyFill="1" applyBorder="1" applyAlignment="1"/>
    <xf numFmtId="1" fontId="19" fillId="0" borderId="0" xfId="5" applyNumberFormat="1" applyFont="1" applyFill="1" applyBorder="1" applyAlignment="1">
      <alignment horizontal="left" indent="1"/>
    </xf>
    <xf numFmtId="1" fontId="19" fillId="0" borderId="0" xfId="5" applyNumberFormat="1" applyFont="1" applyFill="1" applyBorder="1" applyAlignment="1">
      <alignment horizontal="left"/>
    </xf>
    <xf numFmtId="1" fontId="9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1" fontId="9" fillId="0" borderId="0" xfId="6" quotePrefix="1" applyNumberFormat="1" applyFont="1" applyFill="1" applyBorder="1" applyAlignment="1">
      <alignment horizontal="left"/>
    </xf>
    <xf numFmtId="1" fontId="9" fillId="0" borderId="0" xfId="6" applyNumberFormat="1" applyFont="1" applyFill="1" applyBorder="1" applyAlignment="1">
      <alignment horizontal="left"/>
    </xf>
    <xf numFmtId="1" fontId="9" fillId="0" borderId="0" xfId="5" applyNumberFormat="1" applyFont="1" applyFill="1" applyBorder="1" applyAlignment="1">
      <alignment horizontal="left"/>
    </xf>
    <xf numFmtId="1" fontId="13" fillId="0" borderId="0" xfId="0" applyNumberFormat="1" applyFont="1" applyFill="1" applyBorder="1" applyAlignment="1">
      <alignment horizontal="left"/>
    </xf>
    <xf numFmtId="1" fontId="9" fillId="0" borderId="0" xfId="5" applyNumberFormat="1" applyFont="1" applyFill="1" applyBorder="1" applyAlignment="1">
      <alignment horizontal="left" vertical="top"/>
    </xf>
    <xf numFmtId="1" fontId="19" fillId="0" borderId="0" xfId="5" applyNumberFormat="1" applyFont="1" applyFill="1" applyBorder="1" applyAlignment="1">
      <alignment horizontal="left" vertical="top" indent="1"/>
    </xf>
    <xf numFmtId="1" fontId="9" fillId="0" borderId="0" xfId="0" applyNumberFormat="1" applyFont="1" applyFill="1" applyBorder="1" applyAlignment="1">
      <alignment horizontal="left" vertical="top"/>
    </xf>
    <xf numFmtId="0" fontId="9" fillId="0" borderId="0" xfId="5" applyFont="1" applyFill="1" applyBorder="1" applyAlignment="1" applyProtection="1">
      <alignment horizontal="left" vertical="top"/>
      <protection locked="0"/>
    </xf>
    <xf numFmtId="0" fontId="9" fillId="0" borderId="0" xfId="5" applyFont="1" applyFill="1" applyBorder="1" applyAlignment="1" applyProtection="1">
      <alignment horizontal="left"/>
      <protection locked="0"/>
    </xf>
    <xf numFmtId="0" fontId="9" fillId="0" borderId="0" xfId="5" applyFont="1" applyFill="1" applyBorder="1" applyAlignment="1">
      <alignment horizontal="left"/>
    </xf>
    <xf numFmtId="0" fontId="13" fillId="0" borderId="0" xfId="5" applyFont="1" applyFill="1" applyBorder="1" applyAlignment="1">
      <alignment horizontal="left"/>
    </xf>
    <xf numFmtId="1" fontId="9" fillId="0" borderId="0" xfId="0" applyNumberFormat="1" applyFont="1" applyFill="1" applyBorder="1"/>
    <xf numFmtId="1" fontId="9" fillId="0" borderId="0" xfId="0" applyNumberFormat="1" applyFont="1" applyFill="1" applyBorder="1" applyAlignment="1">
      <alignment horizontal="center"/>
    </xf>
    <xf numFmtId="0" fontId="11" fillId="4" borderId="0" xfId="0" applyFont="1" applyFill="1" applyBorder="1"/>
    <xf numFmtId="1" fontId="11" fillId="0" borderId="0" xfId="2" applyNumberFormat="1" applyFont="1" applyFill="1" applyBorder="1" applyAlignment="1">
      <alignment horizontal="left" vertical="center"/>
    </xf>
    <xf numFmtId="1" fontId="9" fillId="0" borderId="0" xfId="7" applyNumberFormat="1" applyFont="1" applyFill="1" applyBorder="1" applyAlignment="1" applyProtection="1">
      <alignment horizontal="center" vertical="center"/>
    </xf>
    <xf numFmtId="0" fontId="9" fillId="0" borderId="0" xfId="1" applyNumberFormat="1" applyFont="1" applyFill="1" applyBorder="1" applyAlignment="1">
      <alignment horizontal="right" vertical="center"/>
    </xf>
    <xf numFmtId="2" fontId="11" fillId="0" borderId="0" xfId="0" applyNumberFormat="1" applyFont="1" applyFill="1" applyBorder="1"/>
    <xf numFmtId="1" fontId="8" fillId="0" borderId="0" xfId="0" applyNumberFormat="1" applyFont="1" applyFill="1" applyBorder="1" applyAlignment="1">
      <alignment vertical="center"/>
    </xf>
  </cellXfs>
  <cellStyles count="8">
    <cellStyle name="Bad" xfId="2" builtinId="27"/>
    <cellStyle name="Normal" xfId="0" builtinId="0"/>
    <cellStyle name="Normal 13" xfId="6"/>
    <cellStyle name="Normal 2" xfId="1"/>
    <cellStyle name="Normal_tab12_91_01" xfId="3"/>
    <cellStyle name="Обычный_Лист1" xfId="5"/>
    <cellStyle name="一般_CHAP3-2" xfId="4"/>
    <cellStyle name="一般_生產總表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tats.oecd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stats.oecd.org/" TargetMode="External"/><Relationship Id="rId1" Type="http://schemas.openxmlformats.org/officeDocument/2006/relationships/hyperlink" Target="http://stats.oecd.or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stats.oecd.org/" TargetMode="External"/><Relationship Id="rId1" Type="http://schemas.openxmlformats.org/officeDocument/2006/relationships/hyperlink" Target="http://stats.oecd.org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stats.oecd.org/" TargetMode="External"/><Relationship Id="rId1" Type="http://schemas.openxmlformats.org/officeDocument/2006/relationships/hyperlink" Target="http://stats.oecd.org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://stats.oecd.org/" TargetMode="External"/><Relationship Id="rId1" Type="http://schemas.openxmlformats.org/officeDocument/2006/relationships/hyperlink" Target="http://stats.oecd.org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://stats.oecd.org/" TargetMode="External"/><Relationship Id="rId1" Type="http://schemas.openxmlformats.org/officeDocument/2006/relationships/hyperlink" Target="http://stats.oec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14"/>
  <sheetViews>
    <sheetView topLeftCell="A53" workbookViewId="0">
      <selection activeCell="E110" sqref="E110"/>
    </sheetView>
  </sheetViews>
  <sheetFormatPr defaultColWidth="36.140625" defaultRowHeight="15.6" customHeight="1"/>
  <cols>
    <col min="1" max="1" width="89.140625" bestFit="1" customWidth="1"/>
    <col min="2" max="2" width="12.5703125" customWidth="1"/>
    <col min="3" max="3" width="4.42578125" customWidth="1"/>
    <col min="4" max="4" width="36.140625" style="8"/>
  </cols>
  <sheetData>
    <row r="1" spans="1:5" ht="15.6" customHeight="1">
      <c r="A1" s="3"/>
      <c r="B1" s="3"/>
    </row>
    <row r="2" spans="1:5" ht="15.6" customHeight="1">
      <c r="A2" s="3"/>
      <c r="B2" s="3"/>
    </row>
    <row r="3" spans="1:5" ht="15.6" customHeight="1">
      <c r="A3" s="3"/>
      <c r="B3" s="3"/>
    </row>
    <row r="4" spans="1:5" ht="15.6" customHeight="1">
      <c r="A4" s="3" t="s">
        <v>305</v>
      </c>
      <c r="B4" s="3" t="s">
        <v>305</v>
      </c>
      <c r="D4" s="2" t="s">
        <v>306</v>
      </c>
    </row>
    <row r="5" spans="1:5" ht="15.6" customHeight="1">
      <c r="A5" s="4" t="s">
        <v>31</v>
      </c>
      <c r="B5" s="4" t="s">
        <v>214</v>
      </c>
      <c r="D5" s="1" t="s">
        <v>138</v>
      </c>
      <c r="E5">
        <f>FIND("C",A5)</f>
        <v>1</v>
      </c>
    </row>
    <row r="6" spans="1:5" ht="15.6" customHeight="1">
      <c r="A6" s="4" t="s">
        <v>32</v>
      </c>
      <c r="B6" s="4" t="s">
        <v>215</v>
      </c>
      <c r="D6" s="1" t="s">
        <v>660</v>
      </c>
      <c r="E6">
        <f t="shared" ref="E6:E69" si="0">FIND("C",A6)</f>
        <v>3</v>
      </c>
    </row>
    <row r="7" spans="1:5" ht="15.6" customHeight="1">
      <c r="A7" s="4" t="s">
        <v>33</v>
      </c>
      <c r="B7" s="4" t="s">
        <v>216</v>
      </c>
      <c r="D7" s="1" t="s">
        <v>139</v>
      </c>
      <c r="E7">
        <f t="shared" si="0"/>
        <v>5</v>
      </c>
    </row>
    <row r="8" spans="1:5" ht="15.6" customHeight="1">
      <c r="A8" s="4" t="s">
        <v>34</v>
      </c>
      <c r="B8" s="4" t="s">
        <v>257</v>
      </c>
      <c r="D8" s="1" t="s">
        <v>140</v>
      </c>
      <c r="E8">
        <f t="shared" si="0"/>
        <v>7</v>
      </c>
    </row>
    <row r="9" spans="1:5" ht="15.6" customHeight="1">
      <c r="A9" s="4" t="s">
        <v>35</v>
      </c>
      <c r="B9" s="4" t="s">
        <v>258</v>
      </c>
      <c r="D9" s="1" t="s">
        <v>141</v>
      </c>
      <c r="E9">
        <f t="shared" si="0"/>
        <v>7</v>
      </c>
    </row>
    <row r="10" spans="1:5" ht="15.6" customHeight="1">
      <c r="A10" s="4" t="s">
        <v>36</v>
      </c>
      <c r="B10" s="4" t="s">
        <v>259</v>
      </c>
      <c r="D10" s="1" t="s">
        <v>142</v>
      </c>
      <c r="E10">
        <f t="shared" si="0"/>
        <v>5</v>
      </c>
    </row>
    <row r="11" spans="1:5" ht="15.6" customHeight="1">
      <c r="A11" s="4" t="s">
        <v>37</v>
      </c>
      <c r="B11" s="4" t="s">
        <v>217</v>
      </c>
      <c r="D11" s="1" t="s">
        <v>813</v>
      </c>
      <c r="E11">
        <f t="shared" si="0"/>
        <v>3</v>
      </c>
    </row>
    <row r="12" spans="1:5" ht="15.6" customHeight="1">
      <c r="A12" s="4" t="s">
        <v>38</v>
      </c>
      <c r="B12" s="4" t="s">
        <v>218</v>
      </c>
      <c r="D12" s="1" t="s">
        <v>143</v>
      </c>
      <c r="E12">
        <f t="shared" si="0"/>
        <v>5</v>
      </c>
    </row>
    <row r="13" spans="1:5" ht="15.6" customHeight="1">
      <c r="A13" s="4" t="s">
        <v>39</v>
      </c>
      <c r="B13" s="4" t="s">
        <v>260</v>
      </c>
      <c r="D13" s="1" t="s">
        <v>144</v>
      </c>
      <c r="E13">
        <f t="shared" si="0"/>
        <v>7</v>
      </c>
    </row>
    <row r="14" spans="1:5" ht="15.6" customHeight="1">
      <c r="A14" s="4" t="s">
        <v>40</v>
      </c>
      <c r="B14" s="4" t="s">
        <v>261</v>
      </c>
      <c r="D14" s="1" t="s">
        <v>145</v>
      </c>
      <c r="E14">
        <f t="shared" si="0"/>
        <v>7</v>
      </c>
    </row>
    <row r="15" spans="1:5" ht="15.6" customHeight="1">
      <c r="A15" s="4" t="s">
        <v>41</v>
      </c>
      <c r="B15" s="4" t="s">
        <v>262</v>
      </c>
      <c r="D15" s="1" t="s">
        <v>146</v>
      </c>
      <c r="E15">
        <f t="shared" si="0"/>
        <v>7</v>
      </c>
    </row>
    <row r="16" spans="1:5" ht="15.6" customHeight="1">
      <c r="A16" s="4" t="s">
        <v>42</v>
      </c>
      <c r="B16" s="4" t="s">
        <v>219</v>
      </c>
      <c r="D16" s="1" t="s">
        <v>147</v>
      </c>
      <c r="E16">
        <f t="shared" si="0"/>
        <v>5</v>
      </c>
    </row>
    <row r="17" spans="1:5" ht="15.6" customHeight="1">
      <c r="A17" s="4" t="s">
        <v>43</v>
      </c>
      <c r="B17" s="4" t="s">
        <v>263</v>
      </c>
      <c r="D17" s="1" t="s">
        <v>148</v>
      </c>
      <c r="E17">
        <f t="shared" si="0"/>
        <v>7</v>
      </c>
    </row>
    <row r="18" spans="1:5" ht="15.6" customHeight="1">
      <c r="A18" s="4" t="s">
        <v>44</v>
      </c>
      <c r="B18" s="4" t="s">
        <v>264</v>
      </c>
      <c r="D18" s="1" t="s">
        <v>149</v>
      </c>
      <c r="E18">
        <f t="shared" si="0"/>
        <v>7</v>
      </c>
    </row>
    <row r="19" spans="1:5" ht="15.6" customHeight="1">
      <c r="A19" s="4" t="s">
        <v>45</v>
      </c>
      <c r="B19" s="4" t="s">
        <v>220</v>
      </c>
      <c r="D19" s="1" t="s">
        <v>150</v>
      </c>
      <c r="E19">
        <f t="shared" si="0"/>
        <v>3</v>
      </c>
    </row>
    <row r="20" spans="1:5" ht="15.6" customHeight="1">
      <c r="A20" s="4" t="s">
        <v>46</v>
      </c>
      <c r="B20" s="4" t="s">
        <v>221</v>
      </c>
      <c r="D20" s="1" t="s">
        <v>151</v>
      </c>
      <c r="E20">
        <f t="shared" si="0"/>
        <v>5</v>
      </c>
    </row>
    <row r="21" spans="1:5" ht="15.6" customHeight="1">
      <c r="A21" s="4" t="s">
        <v>47</v>
      </c>
      <c r="B21" s="4" t="s">
        <v>265</v>
      </c>
      <c r="D21" s="1" t="s">
        <v>152</v>
      </c>
      <c r="E21">
        <f t="shared" si="0"/>
        <v>7</v>
      </c>
    </row>
    <row r="22" spans="1:5" ht="15.6" customHeight="1">
      <c r="A22" s="4" t="s">
        <v>48</v>
      </c>
      <c r="B22" s="4" t="s">
        <v>14</v>
      </c>
      <c r="D22" s="1" t="s">
        <v>153</v>
      </c>
      <c r="E22">
        <f t="shared" si="0"/>
        <v>7</v>
      </c>
    </row>
    <row r="23" spans="1:5" ht="15.6" customHeight="1">
      <c r="A23" s="4" t="s">
        <v>49</v>
      </c>
      <c r="B23" s="4" t="s">
        <v>222</v>
      </c>
      <c r="D23" s="1" t="s">
        <v>814</v>
      </c>
      <c r="E23">
        <f t="shared" si="0"/>
        <v>5</v>
      </c>
    </row>
    <row r="24" spans="1:5" ht="15.6" customHeight="1">
      <c r="A24" s="4" t="s">
        <v>50</v>
      </c>
      <c r="B24" s="4" t="s">
        <v>223</v>
      </c>
      <c r="D24" s="1" t="s">
        <v>154</v>
      </c>
      <c r="E24">
        <f t="shared" si="0"/>
        <v>7</v>
      </c>
    </row>
    <row r="25" spans="1:5" ht="15.6" customHeight="1">
      <c r="A25" s="4" t="s">
        <v>51</v>
      </c>
      <c r="B25" s="4" t="s">
        <v>15</v>
      </c>
      <c r="D25" s="1" t="s">
        <v>155</v>
      </c>
      <c r="E25">
        <f t="shared" si="0"/>
        <v>9</v>
      </c>
    </row>
    <row r="26" spans="1:5" ht="15.6" customHeight="1">
      <c r="A26" s="4" t="s">
        <v>52</v>
      </c>
      <c r="B26" s="4" t="s">
        <v>16</v>
      </c>
      <c r="D26" s="1" t="s">
        <v>156</v>
      </c>
      <c r="E26">
        <f t="shared" si="0"/>
        <v>9</v>
      </c>
    </row>
    <row r="27" spans="1:5" ht="15.6" customHeight="1">
      <c r="A27" s="4" t="s">
        <v>53</v>
      </c>
      <c r="B27" s="4" t="s">
        <v>17</v>
      </c>
      <c r="D27" s="1" t="s">
        <v>157</v>
      </c>
      <c r="E27">
        <f t="shared" si="0"/>
        <v>7</v>
      </c>
    </row>
    <row r="28" spans="1:5" ht="15.6" customHeight="1">
      <c r="A28" s="4" t="s">
        <v>54</v>
      </c>
      <c r="B28" s="4" t="s">
        <v>18</v>
      </c>
      <c r="D28" s="1" t="s">
        <v>158</v>
      </c>
      <c r="E28">
        <f t="shared" si="0"/>
        <v>5</v>
      </c>
    </row>
    <row r="29" spans="1:5" ht="15.6" customHeight="1">
      <c r="A29" s="4" t="s">
        <v>55</v>
      </c>
      <c r="B29" s="4" t="s">
        <v>224</v>
      </c>
      <c r="D29" s="1" t="s">
        <v>159</v>
      </c>
      <c r="E29">
        <f t="shared" si="0"/>
        <v>5</v>
      </c>
    </row>
    <row r="30" spans="1:5" ht="15.6" customHeight="1">
      <c r="A30" s="4" t="s">
        <v>56</v>
      </c>
      <c r="B30" s="4" t="s">
        <v>19</v>
      </c>
      <c r="D30" s="1" t="s">
        <v>160</v>
      </c>
      <c r="E30">
        <f t="shared" si="0"/>
        <v>7</v>
      </c>
    </row>
    <row r="31" spans="1:5" ht="15.6" customHeight="1">
      <c r="A31" s="4" t="s">
        <v>57</v>
      </c>
      <c r="B31" s="4" t="s">
        <v>20</v>
      </c>
      <c r="D31" s="1" t="s">
        <v>161</v>
      </c>
      <c r="E31">
        <f t="shared" si="0"/>
        <v>7</v>
      </c>
    </row>
    <row r="32" spans="1:5" ht="15.6" customHeight="1">
      <c r="A32" s="4" t="s">
        <v>58</v>
      </c>
      <c r="B32" s="4" t="s">
        <v>225</v>
      </c>
      <c r="D32" s="1" t="s">
        <v>815</v>
      </c>
      <c r="E32">
        <f t="shared" si="0"/>
        <v>5</v>
      </c>
    </row>
    <row r="33" spans="1:5" ht="15.6" customHeight="1">
      <c r="A33" s="4" t="s">
        <v>59</v>
      </c>
      <c r="B33" s="4" t="s">
        <v>21</v>
      </c>
      <c r="D33" s="1" t="s">
        <v>162</v>
      </c>
      <c r="E33">
        <f t="shared" si="0"/>
        <v>7</v>
      </c>
    </row>
    <row r="34" spans="1:5" ht="15.6" customHeight="1">
      <c r="A34" s="4" t="s">
        <v>60</v>
      </c>
      <c r="B34" s="4" t="s">
        <v>22</v>
      </c>
      <c r="D34" s="1" t="s">
        <v>163</v>
      </c>
      <c r="E34">
        <f t="shared" si="0"/>
        <v>7</v>
      </c>
    </row>
    <row r="35" spans="1:5" ht="15.6" customHeight="1">
      <c r="A35" s="4" t="s">
        <v>61</v>
      </c>
      <c r="B35" s="4" t="s">
        <v>266</v>
      </c>
      <c r="D35" s="1"/>
      <c r="E35">
        <f t="shared" si="0"/>
        <v>9</v>
      </c>
    </row>
    <row r="36" spans="1:5" ht="15.6" customHeight="1">
      <c r="A36" s="4" t="s">
        <v>62</v>
      </c>
      <c r="B36" s="4" t="s">
        <v>267</v>
      </c>
      <c r="D36" s="1"/>
      <c r="E36">
        <f t="shared" si="0"/>
        <v>9</v>
      </c>
    </row>
    <row r="37" spans="1:5" ht="15.6" customHeight="1">
      <c r="A37" s="4" t="s">
        <v>63</v>
      </c>
      <c r="B37" s="4" t="s">
        <v>23</v>
      </c>
      <c r="D37" s="1" t="s">
        <v>164</v>
      </c>
      <c r="E37">
        <f t="shared" si="0"/>
        <v>7</v>
      </c>
    </row>
    <row r="38" spans="1:5" ht="15.6" customHeight="1">
      <c r="A38" s="4" t="s">
        <v>64</v>
      </c>
      <c r="B38" s="4" t="s">
        <v>24</v>
      </c>
      <c r="D38" s="1" t="s">
        <v>165</v>
      </c>
      <c r="E38">
        <f t="shared" si="0"/>
        <v>5</v>
      </c>
    </row>
    <row r="39" spans="1:5" ht="15.6" customHeight="1">
      <c r="A39" s="4" t="s">
        <v>65</v>
      </c>
      <c r="B39" s="4" t="s">
        <v>226</v>
      </c>
      <c r="D39" s="1" t="s">
        <v>166</v>
      </c>
      <c r="E39">
        <f t="shared" si="0"/>
        <v>5</v>
      </c>
    </row>
    <row r="40" spans="1:5" ht="15.6" customHeight="1">
      <c r="A40" s="4" t="s">
        <v>66</v>
      </c>
      <c r="B40" s="4" t="s">
        <v>25</v>
      </c>
      <c r="D40" s="1" t="s">
        <v>167</v>
      </c>
      <c r="E40">
        <f t="shared" si="0"/>
        <v>7</v>
      </c>
    </row>
    <row r="41" spans="1:5" ht="15.6" customHeight="1">
      <c r="A41" s="4" t="s">
        <v>67</v>
      </c>
      <c r="B41" s="4" t="s">
        <v>227</v>
      </c>
      <c r="D41" s="1" t="s">
        <v>438</v>
      </c>
      <c r="E41">
        <f t="shared" si="0"/>
        <v>9</v>
      </c>
    </row>
    <row r="42" spans="1:5" ht="15.6" customHeight="1">
      <c r="A42" s="4" t="s">
        <v>68</v>
      </c>
      <c r="B42" s="4" t="s">
        <v>228</v>
      </c>
      <c r="D42" s="1" t="s">
        <v>1041</v>
      </c>
      <c r="E42">
        <f t="shared" si="0"/>
        <v>9</v>
      </c>
    </row>
    <row r="43" spans="1:5" ht="15.6" customHeight="1">
      <c r="A43" s="4" t="s">
        <v>69</v>
      </c>
      <c r="B43" s="4" t="s">
        <v>26</v>
      </c>
      <c r="D43" s="1" t="s">
        <v>168</v>
      </c>
      <c r="E43">
        <f t="shared" si="0"/>
        <v>7</v>
      </c>
    </row>
    <row r="44" spans="1:5" ht="15.6" customHeight="1">
      <c r="A44" s="4" t="s">
        <v>70</v>
      </c>
      <c r="B44" s="4" t="s">
        <v>229</v>
      </c>
      <c r="D44" s="1" t="s">
        <v>667</v>
      </c>
      <c r="E44">
        <f t="shared" si="0"/>
        <v>5</v>
      </c>
    </row>
    <row r="45" spans="1:5" ht="15.6" customHeight="1">
      <c r="A45" s="4" t="s">
        <v>71</v>
      </c>
      <c r="B45" s="4" t="s">
        <v>27</v>
      </c>
      <c r="D45" s="1" t="s">
        <v>169</v>
      </c>
      <c r="E45">
        <f t="shared" si="0"/>
        <v>7</v>
      </c>
    </row>
    <row r="46" spans="1:5" ht="15.6" customHeight="1">
      <c r="A46" s="4" t="s">
        <v>72</v>
      </c>
      <c r="B46" s="4" t="s">
        <v>230</v>
      </c>
      <c r="D46" s="1" t="s">
        <v>170</v>
      </c>
      <c r="E46">
        <f t="shared" si="0"/>
        <v>7</v>
      </c>
    </row>
    <row r="47" spans="1:5" ht="15.6" customHeight="1">
      <c r="A47" s="4" t="s">
        <v>73</v>
      </c>
      <c r="B47" s="4" t="s">
        <v>28</v>
      </c>
      <c r="D47" s="1" t="s">
        <v>171</v>
      </c>
      <c r="E47">
        <f t="shared" si="0"/>
        <v>9</v>
      </c>
    </row>
    <row r="48" spans="1:5" ht="15.6" customHeight="1">
      <c r="A48" s="4" t="s">
        <v>74</v>
      </c>
      <c r="B48" s="4" t="s">
        <v>268</v>
      </c>
      <c r="D48" s="1" t="s">
        <v>172</v>
      </c>
      <c r="E48">
        <f t="shared" si="0"/>
        <v>9</v>
      </c>
    </row>
    <row r="49" spans="1:5" ht="15.6" customHeight="1">
      <c r="A49" s="4" t="s">
        <v>75</v>
      </c>
      <c r="B49" s="4" t="s">
        <v>269</v>
      </c>
      <c r="D49" s="1" t="s">
        <v>173</v>
      </c>
      <c r="E49">
        <f t="shared" si="0"/>
        <v>9</v>
      </c>
    </row>
    <row r="50" spans="1:5" ht="15.6" customHeight="1">
      <c r="A50" s="4" t="s">
        <v>76</v>
      </c>
      <c r="B50" s="4" t="s">
        <v>29</v>
      </c>
      <c r="D50" s="1" t="s">
        <v>174</v>
      </c>
      <c r="E50">
        <f t="shared" si="0"/>
        <v>9</v>
      </c>
    </row>
    <row r="51" spans="1:5" ht="15.6" customHeight="1">
      <c r="A51" s="4" t="s">
        <v>77</v>
      </c>
      <c r="B51" s="4" t="s">
        <v>231</v>
      </c>
      <c r="D51" s="1" t="s">
        <v>175</v>
      </c>
      <c r="E51">
        <f t="shared" si="0"/>
        <v>5</v>
      </c>
    </row>
    <row r="52" spans="1:5" ht="15.6" customHeight="1">
      <c r="A52" s="4" t="s">
        <v>78</v>
      </c>
      <c r="B52" s="4" t="s">
        <v>270</v>
      </c>
      <c r="D52" s="1" t="s">
        <v>176</v>
      </c>
      <c r="E52">
        <f t="shared" si="0"/>
        <v>7</v>
      </c>
    </row>
    <row r="53" spans="1:5" ht="15.6" customHeight="1">
      <c r="A53" s="4" t="s">
        <v>79</v>
      </c>
      <c r="B53" s="4" t="s">
        <v>271</v>
      </c>
      <c r="D53" s="1" t="s">
        <v>177</v>
      </c>
      <c r="E53">
        <f t="shared" si="0"/>
        <v>7</v>
      </c>
    </row>
    <row r="54" spans="1:5" ht="15.6" customHeight="1">
      <c r="A54" s="4" t="s">
        <v>80</v>
      </c>
      <c r="B54" s="4" t="s">
        <v>272</v>
      </c>
      <c r="D54" s="1"/>
      <c r="E54">
        <f t="shared" si="0"/>
        <v>9</v>
      </c>
    </row>
    <row r="55" spans="1:5" ht="15.6" customHeight="1">
      <c r="A55" s="4" t="s">
        <v>81</v>
      </c>
      <c r="B55" s="4" t="s">
        <v>273</v>
      </c>
      <c r="D55" s="1"/>
      <c r="E55">
        <f t="shared" si="0"/>
        <v>9</v>
      </c>
    </row>
    <row r="56" spans="1:5" ht="15.6" customHeight="1">
      <c r="A56" s="4" t="s">
        <v>82</v>
      </c>
      <c r="B56" s="4" t="s">
        <v>232</v>
      </c>
      <c r="D56" s="1"/>
      <c r="E56">
        <f t="shared" si="0"/>
        <v>9</v>
      </c>
    </row>
    <row r="57" spans="1:5" ht="15.6" customHeight="1">
      <c r="A57" s="4" t="s">
        <v>83</v>
      </c>
      <c r="B57" s="4" t="s">
        <v>233</v>
      </c>
      <c r="D57" s="1" t="s">
        <v>178</v>
      </c>
      <c r="E57">
        <f t="shared" si="0"/>
        <v>5</v>
      </c>
    </row>
    <row r="58" spans="1:5" ht="15.6" customHeight="1">
      <c r="A58" s="4" t="s">
        <v>84</v>
      </c>
      <c r="B58" s="4" t="s">
        <v>274</v>
      </c>
      <c r="D58" s="1" t="s">
        <v>367</v>
      </c>
      <c r="E58">
        <f t="shared" si="0"/>
        <v>7</v>
      </c>
    </row>
    <row r="59" spans="1:5" ht="15.6" customHeight="1">
      <c r="A59" s="4" t="s">
        <v>85</v>
      </c>
      <c r="B59" s="4" t="s">
        <v>275</v>
      </c>
      <c r="D59" s="1" t="s">
        <v>179</v>
      </c>
      <c r="E59">
        <f t="shared" si="0"/>
        <v>7</v>
      </c>
    </row>
    <row r="60" spans="1:5" ht="15.6" customHeight="1">
      <c r="A60" s="4" t="s">
        <v>86</v>
      </c>
      <c r="B60" s="4" t="s">
        <v>234</v>
      </c>
      <c r="D60" s="1" t="s">
        <v>180</v>
      </c>
      <c r="E60">
        <f t="shared" si="0"/>
        <v>3</v>
      </c>
    </row>
    <row r="61" spans="1:5" ht="15.6" customHeight="1">
      <c r="A61" s="4" t="s">
        <v>87</v>
      </c>
      <c r="B61" s="4" t="s">
        <v>276</v>
      </c>
      <c r="D61" s="1" t="s">
        <v>181</v>
      </c>
      <c r="E61">
        <f t="shared" si="0"/>
        <v>5</v>
      </c>
    </row>
    <row r="62" spans="1:5" ht="15.6" customHeight="1">
      <c r="A62" s="4" t="s">
        <v>88</v>
      </c>
      <c r="B62" s="4" t="s">
        <v>277</v>
      </c>
      <c r="D62" s="1" t="s">
        <v>182</v>
      </c>
      <c r="E62">
        <f t="shared" si="0"/>
        <v>5</v>
      </c>
    </row>
    <row r="63" spans="1:5" ht="15.6" customHeight="1">
      <c r="A63" s="4" t="s">
        <v>89</v>
      </c>
      <c r="B63" s="4" t="s">
        <v>278</v>
      </c>
      <c r="D63" s="1" t="s">
        <v>183</v>
      </c>
      <c r="E63">
        <f t="shared" si="0"/>
        <v>3</v>
      </c>
    </row>
    <row r="64" spans="1:5" ht="15.6" customHeight="1">
      <c r="A64" s="4" t="s">
        <v>90</v>
      </c>
      <c r="B64" s="4" t="s">
        <v>235</v>
      </c>
      <c r="D64" s="1" t="s">
        <v>816</v>
      </c>
      <c r="E64">
        <f t="shared" si="0"/>
        <v>3</v>
      </c>
    </row>
    <row r="65" spans="1:5" ht="15.6" customHeight="1">
      <c r="A65" s="4" t="s">
        <v>91</v>
      </c>
      <c r="B65" s="4" t="s">
        <v>236</v>
      </c>
      <c r="D65" s="1" t="s">
        <v>184</v>
      </c>
      <c r="E65">
        <f t="shared" si="0"/>
        <v>5</v>
      </c>
    </row>
    <row r="66" spans="1:5" ht="15.6" customHeight="1">
      <c r="A66" s="4" t="s">
        <v>92</v>
      </c>
      <c r="B66" s="4" t="s">
        <v>279</v>
      </c>
      <c r="D66" s="1" t="s">
        <v>185</v>
      </c>
      <c r="E66">
        <f t="shared" si="0"/>
        <v>7</v>
      </c>
    </row>
    <row r="67" spans="1:5" ht="15.6" customHeight="1">
      <c r="A67" s="4" t="s">
        <v>93</v>
      </c>
      <c r="B67" s="4" t="s">
        <v>280</v>
      </c>
      <c r="D67" s="1" t="s">
        <v>186</v>
      </c>
      <c r="E67">
        <f t="shared" si="0"/>
        <v>7</v>
      </c>
    </row>
    <row r="68" spans="1:5" ht="15.6" customHeight="1">
      <c r="A68" s="4" t="s">
        <v>94</v>
      </c>
      <c r="B68" s="4" t="s">
        <v>281</v>
      </c>
      <c r="D68" s="1" t="s">
        <v>187</v>
      </c>
      <c r="E68">
        <f t="shared" si="0"/>
        <v>7</v>
      </c>
    </row>
    <row r="69" spans="1:5" ht="15.6" customHeight="1">
      <c r="A69" s="4" t="s">
        <v>95</v>
      </c>
      <c r="B69" s="4" t="s">
        <v>282</v>
      </c>
      <c r="D69" s="1" t="s">
        <v>188</v>
      </c>
      <c r="E69">
        <f t="shared" si="0"/>
        <v>5</v>
      </c>
    </row>
    <row r="70" spans="1:5" ht="15.6" customHeight="1">
      <c r="A70" s="4" t="s">
        <v>96</v>
      </c>
      <c r="B70" s="4" t="s">
        <v>237</v>
      </c>
      <c r="D70" s="1" t="s">
        <v>189</v>
      </c>
      <c r="E70">
        <f t="shared" ref="E70:E109" si="1">FIND("C",A70)</f>
        <v>3</v>
      </c>
    </row>
    <row r="71" spans="1:5" ht="15.6" customHeight="1">
      <c r="A71" s="4" t="s">
        <v>97</v>
      </c>
      <c r="B71" s="4" t="s">
        <v>238</v>
      </c>
      <c r="D71" s="1" t="s">
        <v>671</v>
      </c>
      <c r="E71">
        <f t="shared" si="1"/>
        <v>5</v>
      </c>
    </row>
    <row r="72" spans="1:5" ht="15.6" customHeight="1">
      <c r="A72" s="4" t="s">
        <v>98</v>
      </c>
      <c r="B72" s="4" t="s">
        <v>283</v>
      </c>
      <c r="D72" s="1" t="s">
        <v>190</v>
      </c>
      <c r="E72">
        <f t="shared" si="1"/>
        <v>7</v>
      </c>
    </row>
    <row r="73" spans="1:5" ht="15.6" customHeight="1">
      <c r="A73" s="4" t="s">
        <v>99</v>
      </c>
      <c r="B73" s="4" t="s">
        <v>284</v>
      </c>
      <c r="D73" s="1" t="s">
        <v>191</v>
      </c>
      <c r="E73">
        <f t="shared" si="1"/>
        <v>7</v>
      </c>
    </row>
    <row r="74" spans="1:5" ht="15.6" customHeight="1">
      <c r="A74" s="4" t="s">
        <v>100</v>
      </c>
      <c r="B74" s="4" t="s">
        <v>285</v>
      </c>
      <c r="D74" s="1" t="s">
        <v>192</v>
      </c>
      <c r="E74">
        <f t="shared" si="1"/>
        <v>7</v>
      </c>
    </row>
    <row r="75" spans="1:5" ht="15.6" customHeight="1">
      <c r="A75" s="4" t="s">
        <v>101</v>
      </c>
      <c r="B75" s="4" t="s">
        <v>286</v>
      </c>
      <c r="D75" s="1" t="s">
        <v>193</v>
      </c>
      <c r="E75">
        <f t="shared" si="1"/>
        <v>7</v>
      </c>
    </row>
    <row r="76" spans="1:5" ht="15.6" customHeight="1">
      <c r="A76" s="4" t="s">
        <v>102</v>
      </c>
      <c r="B76" s="4" t="s">
        <v>287</v>
      </c>
      <c r="D76" s="1" t="s">
        <v>194</v>
      </c>
      <c r="E76">
        <f t="shared" si="1"/>
        <v>5</v>
      </c>
    </row>
    <row r="77" spans="1:5" ht="15.6" customHeight="1">
      <c r="A77" s="4" t="s">
        <v>103</v>
      </c>
      <c r="B77" s="4" t="s">
        <v>239</v>
      </c>
      <c r="D77" s="1" t="s">
        <v>817</v>
      </c>
      <c r="E77">
        <f t="shared" si="1"/>
        <v>3</v>
      </c>
    </row>
    <row r="78" spans="1:5" ht="15.6" customHeight="1">
      <c r="A78" s="4" t="s">
        <v>104</v>
      </c>
      <c r="B78" s="4" t="s">
        <v>240</v>
      </c>
      <c r="D78" s="1" t="s">
        <v>195</v>
      </c>
      <c r="E78">
        <f t="shared" si="1"/>
        <v>5</v>
      </c>
    </row>
    <row r="79" spans="1:5" ht="15.6" customHeight="1">
      <c r="A79" s="4" t="s">
        <v>105</v>
      </c>
      <c r="B79" s="4" t="s">
        <v>288</v>
      </c>
      <c r="D79" s="1" t="s">
        <v>196</v>
      </c>
      <c r="E79">
        <f t="shared" si="1"/>
        <v>7</v>
      </c>
    </row>
    <row r="80" spans="1:5" ht="15.6" customHeight="1">
      <c r="A80" s="4" t="s">
        <v>106</v>
      </c>
      <c r="B80" s="4" t="s">
        <v>289</v>
      </c>
      <c r="D80" s="1" t="s">
        <v>197</v>
      </c>
      <c r="E80">
        <f t="shared" si="1"/>
        <v>7</v>
      </c>
    </row>
    <row r="81" spans="1:5" ht="15.6" customHeight="1">
      <c r="A81" s="4" t="s">
        <v>107</v>
      </c>
      <c r="B81" s="4" t="s">
        <v>290</v>
      </c>
      <c r="D81" s="1" t="s">
        <v>198</v>
      </c>
      <c r="E81">
        <f t="shared" si="1"/>
        <v>7</v>
      </c>
    </row>
    <row r="82" spans="1:5" ht="15.6" customHeight="1">
      <c r="A82" s="4" t="s">
        <v>108</v>
      </c>
      <c r="B82" s="4" t="s">
        <v>241</v>
      </c>
      <c r="D82" s="1" t="s">
        <v>199</v>
      </c>
      <c r="E82">
        <f t="shared" si="1"/>
        <v>5</v>
      </c>
    </row>
    <row r="83" spans="1:5" ht="15.6" customHeight="1">
      <c r="A83" s="4" t="s">
        <v>109</v>
      </c>
      <c r="B83" s="4" t="s">
        <v>291</v>
      </c>
      <c r="D83" s="1" t="s">
        <v>200</v>
      </c>
      <c r="E83">
        <f t="shared" si="1"/>
        <v>7</v>
      </c>
    </row>
    <row r="84" spans="1:5" ht="15.6" customHeight="1">
      <c r="A84" s="4" t="s">
        <v>110</v>
      </c>
      <c r="B84" s="4" t="s">
        <v>242</v>
      </c>
      <c r="D84" s="1" t="s">
        <v>213</v>
      </c>
      <c r="E84">
        <f t="shared" si="1"/>
        <v>7</v>
      </c>
    </row>
    <row r="85" spans="1:5" ht="15.6" customHeight="1">
      <c r="A85" s="4" t="s">
        <v>111</v>
      </c>
      <c r="B85" s="4" t="s">
        <v>292</v>
      </c>
      <c r="D85" s="1" t="s">
        <v>201</v>
      </c>
      <c r="E85">
        <f t="shared" si="1"/>
        <v>9</v>
      </c>
    </row>
    <row r="86" spans="1:5" ht="15.6" customHeight="1">
      <c r="A86" s="4" t="s">
        <v>112</v>
      </c>
      <c r="B86" s="4" t="s">
        <v>293</v>
      </c>
      <c r="D86" s="1" t="s">
        <v>202</v>
      </c>
      <c r="E86">
        <f t="shared" si="1"/>
        <v>9</v>
      </c>
    </row>
    <row r="87" spans="1:5" ht="15.6" customHeight="1">
      <c r="A87" s="4" t="s">
        <v>113</v>
      </c>
      <c r="B87" s="4" t="s">
        <v>294</v>
      </c>
      <c r="D87" s="1" t="s">
        <v>203</v>
      </c>
      <c r="E87">
        <f t="shared" si="1"/>
        <v>9</v>
      </c>
    </row>
    <row r="88" spans="1:5" ht="15.6" customHeight="1">
      <c r="A88" s="4" t="s">
        <v>114</v>
      </c>
      <c r="B88" s="4" t="s">
        <v>295</v>
      </c>
      <c r="D88" s="1" t="s">
        <v>204</v>
      </c>
      <c r="E88">
        <f t="shared" si="1"/>
        <v>9</v>
      </c>
    </row>
    <row r="89" spans="1:5" ht="15.6" customHeight="1">
      <c r="A89" s="4" t="s">
        <v>115</v>
      </c>
      <c r="B89" s="4" t="s">
        <v>243</v>
      </c>
      <c r="D89" s="1" t="s">
        <v>1043</v>
      </c>
      <c r="E89">
        <f t="shared" si="1"/>
        <v>3</v>
      </c>
    </row>
    <row r="90" spans="1:5" ht="15.6" customHeight="1">
      <c r="A90" s="4" t="s">
        <v>116</v>
      </c>
      <c r="B90" s="4" t="s">
        <v>296</v>
      </c>
      <c r="D90" s="1" t="s">
        <v>999</v>
      </c>
      <c r="E90">
        <f t="shared" si="1"/>
        <v>5</v>
      </c>
    </row>
    <row r="91" spans="1:5" ht="15.6" customHeight="1">
      <c r="A91" s="4" t="s">
        <v>117</v>
      </c>
      <c r="B91" s="4" t="s">
        <v>297</v>
      </c>
      <c r="D91" s="1" t="s">
        <v>205</v>
      </c>
      <c r="E91">
        <f t="shared" si="1"/>
        <v>5</v>
      </c>
    </row>
    <row r="92" spans="1:5" ht="15.6" customHeight="1">
      <c r="A92" s="4" t="s">
        <v>118</v>
      </c>
      <c r="B92" s="4" t="s">
        <v>298</v>
      </c>
      <c r="D92" s="1" t="s">
        <v>206</v>
      </c>
      <c r="E92">
        <f t="shared" si="1"/>
        <v>5</v>
      </c>
    </row>
    <row r="93" spans="1:5" ht="15.6" customHeight="1">
      <c r="A93" s="4" t="s">
        <v>119</v>
      </c>
      <c r="B93" s="4" t="s">
        <v>244</v>
      </c>
      <c r="D93" s="1" t="s">
        <v>207</v>
      </c>
      <c r="E93">
        <f t="shared" si="1"/>
        <v>5</v>
      </c>
    </row>
    <row r="94" spans="1:5" ht="15.6" customHeight="1">
      <c r="A94" s="4" t="s">
        <v>120</v>
      </c>
      <c r="B94" s="4" t="s">
        <v>299</v>
      </c>
      <c r="D94" s="1" t="s">
        <v>208</v>
      </c>
      <c r="E94">
        <f t="shared" si="1"/>
        <v>7</v>
      </c>
    </row>
    <row r="95" spans="1:5" ht="15.6" customHeight="1">
      <c r="A95" s="4" t="s">
        <v>121</v>
      </c>
      <c r="B95" s="4" t="s">
        <v>300</v>
      </c>
      <c r="D95" s="1" t="s">
        <v>209</v>
      </c>
      <c r="E95">
        <f t="shared" si="1"/>
        <v>7</v>
      </c>
    </row>
    <row r="96" spans="1:5" ht="15.6" customHeight="1">
      <c r="A96" s="4" t="s">
        <v>122</v>
      </c>
      <c r="B96" s="4" t="s">
        <v>301</v>
      </c>
      <c r="D96" s="1" t="s">
        <v>210</v>
      </c>
      <c r="E96">
        <f t="shared" si="1"/>
        <v>7</v>
      </c>
    </row>
    <row r="97" spans="1:5" ht="15.6" customHeight="1">
      <c r="A97" s="4" t="s">
        <v>123</v>
      </c>
      <c r="B97" s="4" t="s">
        <v>302</v>
      </c>
      <c r="D97" s="1" t="s">
        <v>211</v>
      </c>
      <c r="E97">
        <f t="shared" si="1"/>
        <v>7</v>
      </c>
    </row>
    <row r="98" spans="1:5" ht="15.6" customHeight="1">
      <c r="A98" s="4" t="s">
        <v>124</v>
      </c>
      <c r="B98" s="4" t="s">
        <v>303</v>
      </c>
      <c r="D98" s="8" t="s">
        <v>212</v>
      </c>
      <c r="E98">
        <f t="shared" si="1"/>
        <v>5</v>
      </c>
    </row>
    <row r="99" spans="1:5" ht="15.6" customHeight="1">
      <c r="A99" s="4" t="s">
        <v>125</v>
      </c>
      <c r="B99" s="4" t="s">
        <v>245</v>
      </c>
      <c r="E99">
        <f t="shared" si="1"/>
        <v>1</v>
      </c>
    </row>
    <row r="100" spans="1:5" ht="15.6" customHeight="1">
      <c r="A100" s="4" t="s">
        <v>126</v>
      </c>
      <c r="B100" s="4" t="s">
        <v>246</v>
      </c>
      <c r="E100">
        <f t="shared" si="1"/>
        <v>1</v>
      </c>
    </row>
    <row r="101" spans="1:5" ht="15.6" customHeight="1">
      <c r="A101" s="4" t="s">
        <v>127</v>
      </c>
      <c r="B101" s="4" t="s">
        <v>247</v>
      </c>
      <c r="E101">
        <f t="shared" si="1"/>
        <v>1</v>
      </c>
    </row>
    <row r="102" spans="1:5" ht="15.6" customHeight="1">
      <c r="A102" s="4" t="s">
        <v>128</v>
      </c>
      <c r="B102" s="4" t="s">
        <v>248</v>
      </c>
      <c r="E102">
        <f t="shared" si="1"/>
        <v>1</v>
      </c>
    </row>
    <row r="103" spans="1:5" ht="15.6" customHeight="1">
      <c r="A103" s="4" t="s">
        <v>129</v>
      </c>
      <c r="B103" s="4" t="s">
        <v>249</v>
      </c>
      <c r="E103">
        <f t="shared" si="1"/>
        <v>1</v>
      </c>
    </row>
    <row r="104" spans="1:5" ht="15.6" customHeight="1">
      <c r="A104" s="4" t="s">
        <v>130</v>
      </c>
      <c r="B104" s="4" t="s">
        <v>250</v>
      </c>
      <c r="E104">
        <f t="shared" si="1"/>
        <v>1</v>
      </c>
    </row>
    <row r="105" spans="1:5" ht="15.6" customHeight="1">
      <c r="A105" s="4" t="s">
        <v>131</v>
      </c>
      <c r="B105" s="4" t="s">
        <v>251</v>
      </c>
      <c r="E105">
        <f t="shared" si="1"/>
        <v>5</v>
      </c>
    </row>
    <row r="106" spans="1:5" ht="15.6" customHeight="1">
      <c r="A106" s="4" t="s">
        <v>132</v>
      </c>
      <c r="B106" s="4" t="s">
        <v>252</v>
      </c>
      <c r="E106">
        <f t="shared" si="1"/>
        <v>5</v>
      </c>
    </row>
    <row r="107" spans="1:5" ht="15.6" customHeight="1">
      <c r="A107" s="4" t="s">
        <v>133</v>
      </c>
      <c r="B107" s="4" t="s">
        <v>253</v>
      </c>
      <c r="E107">
        <f t="shared" si="1"/>
        <v>5</v>
      </c>
    </row>
    <row r="108" spans="1:5" ht="15.6" customHeight="1">
      <c r="A108" s="4" t="s">
        <v>134</v>
      </c>
      <c r="B108" s="4" t="s">
        <v>254</v>
      </c>
      <c r="E108">
        <f t="shared" si="1"/>
        <v>5</v>
      </c>
    </row>
    <row r="109" spans="1:5" ht="15.6" customHeight="1">
      <c r="A109" s="4" t="s">
        <v>135</v>
      </c>
      <c r="B109" s="4" t="s">
        <v>255</v>
      </c>
      <c r="E109">
        <f t="shared" si="1"/>
        <v>6</v>
      </c>
    </row>
    <row r="110" spans="1:5" ht="15.6" customHeight="1">
      <c r="A110" s="4" t="s">
        <v>136</v>
      </c>
      <c r="B110" s="4" t="s">
        <v>256</v>
      </c>
      <c r="E110">
        <v>9</v>
      </c>
    </row>
    <row r="111" spans="1:5" ht="15.6" customHeight="1">
      <c r="A111" s="5" t="s">
        <v>137</v>
      </c>
      <c r="B111" s="5" t="s">
        <v>304</v>
      </c>
    </row>
    <row r="112" spans="1:5" ht="15.6" customHeight="1">
      <c r="A112" s="6"/>
      <c r="B112" s="6"/>
    </row>
    <row r="113" spans="1:2" ht="15.6" customHeight="1">
      <c r="A113" s="7"/>
      <c r="B113" s="7"/>
    </row>
    <row r="114" spans="1:2" ht="15.6" customHeight="1">
      <c r="A114" s="7"/>
      <c r="B114" s="7"/>
    </row>
  </sheetData>
  <hyperlinks>
    <hyperlink ref="A111" r:id="rId1" tooltip="Click once to display linked information. Click and hold to select this cell." display="http://stats.oecd.org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03"/>
  <sheetViews>
    <sheetView topLeftCell="A5" workbookViewId="0">
      <selection activeCell="E5" sqref="E5"/>
    </sheetView>
  </sheetViews>
  <sheetFormatPr defaultColWidth="27.28515625" defaultRowHeight="15"/>
  <cols>
    <col min="1" max="1" width="28.7109375" style="9" customWidth="1"/>
    <col min="2" max="2" width="27.28515625" style="9"/>
    <col min="3" max="3" width="10.140625" style="9" customWidth="1"/>
    <col min="4" max="16384" width="27.28515625" style="9"/>
  </cols>
  <sheetData>
    <row r="3" spans="1:10">
      <c r="I3" s="10"/>
      <c r="J3" s="11"/>
    </row>
    <row r="4" spans="1:10">
      <c r="A4" s="9" t="s">
        <v>496</v>
      </c>
      <c r="B4" s="36" t="s">
        <v>30</v>
      </c>
      <c r="C4" s="37" t="s">
        <v>493</v>
      </c>
      <c r="D4" s="2" t="s">
        <v>494</v>
      </c>
    </row>
    <row r="5" spans="1:10">
      <c r="A5" s="19" t="s">
        <v>312</v>
      </c>
      <c r="B5" s="19">
        <v>1</v>
      </c>
      <c r="C5" s="9" t="s">
        <v>214</v>
      </c>
      <c r="D5" s="11" t="s">
        <v>138</v>
      </c>
      <c r="E5" s="9">
        <f>LEN(C5)</f>
        <v>6</v>
      </c>
      <c r="I5" s="10"/>
      <c r="J5" s="11"/>
    </row>
    <row r="6" spans="1:10">
      <c r="A6" s="19" t="s">
        <v>313</v>
      </c>
      <c r="B6" s="19">
        <v>2</v>
      </c>
      <c r="C6" s="13" t="s">
        <v>490</v>
      </c>
      <c r="D6" s="9" t="s">
        <v>495</v>
      </c>
      <c r="E6" s="9">
        <f t="shared" ref="E6:E61" si="0">LEN(C6)</f>
        <v>10</v>
      </c>
      <c r="I6" s="10"/>
      <c r="J6" s="11"/>
    </row>
    <row r="7" spans="1:10">
      <c r="A7" s="19" t="s">
        <v>314</v>
      </c>
      <c r="B7" s="19">
        <v>3</v>
      </c>
      <c r="C7" s="14" t="s">
        <v>440</v>
      </c>
      <c r="D7" s="9" t="s">
        <v>435</v>
      </c>
      <c r="E7" s="9">
        <f t="shared" si="0"/>
        <v>4</v>
      </c>
      <c r="I7" s="10"/>
      <c r="J7" s="11"/>
    </row>
    <row r="8" spans="1:10">
      <c r="A8" s="19" t="s">
        <v>315</v>
      </c>
      <c r="B8" s="19">
        <v>4</v>
      </c>
      <c r="C8" s="13" t="s">
        <v>441</v>
      </c>
      <c r="D8" s="9" t="s">
        <v>436</v>
      </c>
      <c r="E8" s="9">
        <f t="shared" si="0"/>
        <v>4</v>
      </c>
      <c r="I8" s="10"/>
      <c r="J8" s="11"/>
    </row>
    <row r="9" spans="1:10">
      <c r="A9" s="19" t="s">
        <v>316</v>
      </c>
      <c r="B9" s="19">
        <v>5</v>
      </c>
      <c r="C9" s="13" t="s">
        <v>491</v>
      </c>
      <c r="D9" s="9" t="s">
        <v>1044</v>
      </c>
      <c r="E9" s="9">
        <f t="shared" si="0"/>
        <v>10</v>
      </c>
      <c r="I9" s="10"/>
      <c r="J9" s="11"/>
    </row>
    <row r="10" spans="1:10">
      <c r="A10" s="19" t="s">
        <v>317</v>
      </c>
      <c r="B10" s="19">
        <v>6</v>
      </c>
      <c r="C10" s="14" t="s">
        <v>442</v>
      </c>
      <c r="D10" s="11" t="s">
        <v>145</v>
      </c>
      <c r="E10" s="9">
        <f t="shared" si="0"/>
        <v>4</v>
      </c>
      <c r="I10" s="10"/>
      <c r="J10" s="11"/>
    </row>
    <row r="11" spans="1:10">
      <c r="A11" s="19" t="s">
        <v>318</v>
      </c>
      <c r="B11" s="19">
        <v>7</v>
      </c>
      <c r="C11" s="14" t="s">
        <v>443</v>
      </c>
      <c r="D11" s="11" t="s">
        <v>1045</v>
      </c>
      <c r="E11" s="9">
        <f t="shared" si="0"/>
        <v>4</v>
      </c>
      <c r="I11" s="10"/>
      <c r="J11" s="11"/>
    </row>
    <row r="12" spans="1:10">
      <c r="A12" s="19" t="s">
        <v>319</v>
      </c>
      <c r="B12" s="19">
        <v>8</v>
      </c>
      <c r="C12" s="14" t="s">
        <v>444</v>
      </c>
      <c r="D12" s="9" t="s">
        <v>1046</v>
      </c>
      <c r="E12" s="9">
        <f t="shared" si="0"/>
        <v>4</v>
      </c>
      <c r="I12" s="10"/>
      <c r="J12" s="11"/>
    </row>
    <row r="13" spans="1:10">
      <c r="A13" s="19" t="s">
        <v>320</v>
      </c>
      <c r="B13" s="19">
        <v>9</v>
      </c>
      <c r="C13" s="14" t="s">
        <v>445</v>
      </c>
      <c r="D13" s="11" t="s">
        <v>152</v>
      </c>
      <c r="E13" s="9">
        <f t="shared" si="0"/>
        <v>4</v>
      </c>
      <c r="I13" s="10"/>
      <c r="J13" s="11"/>
    </row>
    <row r="14" spans="1:10">
      <c r="A14" s="19" t="s">
        <v>321</v>
      </c>
      <c r="B14" s="19">
        <v>10</v>
      </c>
      <c r="C14" s="14" t="s">
        <v>446</v>
      </c>
      <c r="D14" s="11" t="s">
        <v>153</v>
      </c>
      <c r="E14" s="9">
        <f t="shared" si="0"/>
        <v>4</v>
      </c>
      <c r="I14" s="10"/>
      <c r="J14" s="11"/>
    </row>
    <row r="15" spans="1:10">
      <c r="A15" s="19" t="s">
        <v>322</v>
      </c>
      <c r="B15" s="19">
        <v>11</v>
      </c>
      <c r="C15" s="14" t="s">
        <v>447</v>
      </c>
      <c r="D15" s="11" t="s">
        <v>155</v>
      </c>
      <c r="E15" s="9">
        <f t="shared" si="0"/>
        <v>4</v>
      </c>
      <c r="I15" s="10"/>
      <c r="J15" s="11"/>
    </row>
    <row r="16" spans="1:10">
      <c r="A16" s="19" t="s">
        <v>323</v>
      </c>
      <c r="B16" s="19">
        <v>12</v>
      </c>
      <c r="C16" s="14" t="s">
        <v>448</v>
      </c>
      <c r="D16" s="11" t="s">
        <v>156</v>
      </c>
      <c r="E16" s="9">
        <f t="shared" si="0"/>
        <v>4</v>
      </c>
      <c r="I16" s="10"/>
      <c r="J16" s="11"/>
    </row>
    <row r="17" spans="1:10">
      <c r="A17" s="19" t="s">
        <v>324</v>
      </c>
      <c r="B17" s="19">
        <v>13</v>
      </c>
      <c r="C17" s="14" t="s">
        <v>449</v>
      </c>
      <c r="D17" s="11" t="s">
        <v>157</v>
      </c>
      <c r="E17" s="9">
        <f t="shared" si="0"/>
        <v>4</v>
      </c>
      <c r="I17" s="10"/>
      <c r="J17" s="11"/>
    </row>
    <row r="18" spans="1:10">
      <c r="A18" s="19" t="s">
        <v>325</v>
      </c>
      <c r="B18" s="19">
        <v>14</v>
      </c>
      <c r="C18" s="14" t="s">
        <v>450</v>
      </c>
      <c r="D18" s="11" t="s">
        <v>158</v>
      </c>
      <c r="E18" s="9">
        <f t="shared" si="0"/>
        <v>4</v>
      </c>
      <c r="I18" s="10"/>
      <c r="J18" s="11"/>
    </row>
    <row r="19" spans="1:10">
      <c r="A19" s="19" t="s">
        <v>326</v>
      </c>
      <c r="B19" s="19">
        <v>15</v>
      </c>
      <c r="C19" s="14" t="s">
        <v>451</v>
      </c>
      <c r="D19" s="11" t="s">
        <v>160</v>
      </c>
      <c r="E19" s="9">
        <f t="shared" si="0"/>
        <v>4</v>
      </c>
      <c r="I19" s="10"/>
      <c r="J19" s="11"/>
    </row>
    <row r="20" spans="1:10">
      <c r="A20" s="19" t="s">
        <v>327</v>
      </c>
      <c r="B20" s="19">
        <v>16</v>
      </c>
      <c r="C20" s="14" t="s">
        <v>452</v>
      </c>
      <c r="D20" s="11" t="s">
        <v>161</v>
      </c>
      <c r="E20" s="9">
        <f t="shared" si="0"/>
        <v>4</v>
      </c>
      <c r="I20" s="10"/>
      <c r="J20" s="11"/>
    </row>
    <row r="21" spans="1:10">
      <c r="A21" s="19" t="s">
        <v>328</v>
      </c>
      <c r="B21" s="19">
        <v>17</v>
      </c>
      <c r="C21" s="14" t="s">
        <v>453</v>
      </c>
      <c r="D21" s="11" t="s">
        <v>162</v>
      </c>
      <c r="E21" s="9">
        <f t="shared" si="0"/>
        <v>4</v>
      </c>
      <c r="I21" s="10"/>
      <c r="J21" s="11"/>
    </row>
    <row r="22" spans="1:10">
      <c r="A22" s="19" t="s">
        <v>329</v>
      </c>
      <c r="B22" s="19">
        <v>18</v>
      </c>
      <c r="C22" s="14" t="s">
        <v>454</v>
      </c>
      <c r="D22" s="11" t="s">
        <v>163</v>
      </c>
      <c r="E22" s="9">
        <f t="shared" si="0"/>
        <v>4</v>
      </c>
      <c r="I22" s="10"/>
      <c r="J22" s="11"/>
    </row>
    <row r="23" spans="1:10">
      <c r="A23" s="19" t="s">
        <v>330</v>
      </c>
      <c r="B23" s="19">
        <v>19</v>
      </c>
      <c r="C23" s="14" t="s">
        <v>455</v>
      </c>
      <c r="D23" s="11"/>
      <c r="E23" s="9">
        <f t="shared" si="0"/>
        <v>4</v>
      </c>
      <c r="I23" s="10"/>
      <c r="J23" s="11"/>
    </row>
    <row r="24" spans="1:10">
      <c r="A24" s="19" t="s">
        <v>331</v>
      </c>
      <c r="B24" s="19">
        <v>20</v>
      </c>
      <c r="C24" s="14" t="s">
        <v>456</v>
      </c>
      <c r="D24" s="11"/>
      <c r="E24" s="9">
        <f t="shared" si="0"/>
        <v>4</v>
      </c>
      <c r="I24" s="10"/>
      <c r="J24" s="11"/>
    </row>
    <row r="25" spans="1:10">
      <c r="A25" s="19" t="s">
        <v>332</v>
      </c>
      <c r="B25" s="19">
        <v>21</v>
      </c>
      <c r="C25" s="14" t="s">
        <v>457</v>
      </c>
      <c r="D25" s="11"/>
      <c r="E25" s="9">
        <f t="shared" si="0"/>
        <v>4</v>
      </c>
      <c r="I25" s="10"/>
      <c r="J25" s="11"/>
    </row>
    <row r="26" spans="1:10">
      <c r="A26" s="19" t="s">
        <v>333</v>
      </c>
      <c r="B26" s="19">
        <v>22</v>
      </c>
      <c r="C26" s="14" t="s">
        <v>458</v>
      </c>
      <c r="D26" s="11"/>
      <c r="E26" s="9">
        <f t="shared" si="0"/>
        <v>4</v>
      </c>
      <c r="I26" s="10"/>
      <c r="J26" s="11"/>
    </row>
    <row r="27" spans="1:10">
      <c r="A27" s="19" t="s">
        <v>334</v>
      </c>
      <c r="B27" s="19">
        <v>23</v>
      </c>
      <c r="C27" s="14" t="s">
        <v>459</v>
      </c>
      <c r="D27" s="11"/>
      <c r="E27" s="9">
        <f t="shared" si="0"/>
        <v>4</v>
      </c>
      <c r="I27" s="10"/>
      <c r="J27" s="11"/>
    </row>
    <row r="28" spans="1:10">
      <c r="A28" s="19" t="s">
        <v>335</v>
      </c>
      <c r="B28" s="19">
        <v>24</v>
      </c>
      <c r="C28" s="14" t="s">
        <v>460</v>
      </c>
      <c r="D28" s="11"/>
      <c r="E28" s="9">
        <f t="shared" si="0"/>
        <v>4</v>
      </c>
      <c r="I28" s="10"/>
      <c r="J28" s="11"/>
    </row>
    <row r="29" spans="1:10">
      <c r="A29" s="19" t="s">
        <v>336</v>
      </c>
      <c r="B29" s="19">
        <v>25</v>
      </c>
      <c r="C29" s="14" t="s">
        <v>461</v>
      </c>
      <c r="D29" s="11"/>
      <c r="E29" s="9">
        <f t="shared" si="0"/>
        <v>4</v>
      </c>
      <c r="I29" s="10"/>
      <c r="J29" s="11"/>
    </row>
    <row r="30" spans="1:10">
      <c r="A30" s="19" t="s">
        <v>337</v>
      </c>
      <c r="B30" s="19">
        <v>26</v>
      </c>
      <c r="C30" s="14" t="s">
        <v>462</v>
      </c>
      <c r="D30" s="11" t="s">
        <v>164</v>
      </c>
      <c r="E30" s="9">
        <f t="shared" si="0"/>
        <v>4</v>
      </c>
      <c r="I30" s="10"/>
      <c r="J30" s="11"/>
    </row>
    <row r="31" spans="1:10">
      <c r="A31" s="19" t="s">
        <v>338</v>
      </c>
      <c r="B31" s="19">
        <v>27</v>
      </c>
      <c r="C31" s="14" t="s">
        <v>463</v>
      </c>
      <c r="D31" s="11" t="s">
        <v>439</v>
      </c>
      <c r="E31" s="9">
        <f t="shared" si="0"/>
        <v>4</v>
      </c>
      <c r="I31" s="10"/>
      <c r="J31" s="11"/>
    </row>
    <row r="32" spans="1:10">
      <c r="A32" s="19" t="s">
        <v>339</v>
      </c>
      <c r="B32" s="19">
        <v>28</v>
      </c>
      <c r="C32" s="14" t="s">
        <v>464</v>
      </c>
      <c r="D32" s="11" t="s">
        <v>165</v>
      </c>
      <c r="E32" s="9">
        <f t="shared" si="0"/>
        <v>4</v>
      </c>
      <c r="I32" s="10"/>
      <c r="J32" s="11"/>
    </row>
    <row r="33" spans="1:10">
      <c r="A33" s="19" t="s">
        <v>340</v>
      </c>
      <c r="B33" s="19">
        <v>29</v>
      </c>
      <c r="C33" s="14" t="s">
        <v>465</v>
      </c>
      <c r="D33" s="11" t="s">
        <v>438</v>
      </c>
      <c r="E33" s="9">
        <f t="shared" si="0"/>
        <v>4</v>
      </c>
      <c r="I33" s="10"/>
      <c r="J33" s="11"/>
    </row>
    <row r="34" spans="1:10">
      <c r="A34" s="19" t="s">
        <v>341</v>
      </c>
      <c r="B34" s="19">
        <v>30</v>
      </c>
      <c r="C34" s="14" t="s">
        <v>466</v>
      </c>
      <c r="D34" s="11" t="s">
        <v>1041</v>
      </c>
      <c r="E34" s="9">
        <f t="shared" si="0"/>
        <v>4</v>
      </c>
      <c r="I34" s="10"/>
      <c r="J34" s="11"/>
    </row>
    <row r="35" spans="1:10">
      <c r="A35" s="19" t="s">
        <v>342</v>
      </c>
      <c r="B35" s="19">
        <v>31</v>
      </c>
      <c r="C35" s="14" t="s">
        <v>467</v>
      </c>
      <c r="D35" s="11" t="s">
        <v>168</v>
      </c>
      <c r="E35" s="9">
        <f t="shared" si="0"/>
        <v>4</v>
      </c>
      <c r="I35" s="10"/>
      <c r="J35" s="11"/>
    </row>
    <row r="36" spans="1:10">
      <c r="A36" s="19" t="s">
        <v>1086</v>
      </c>
      <c r="B36" s="19">
        <v>32</v>
      </c>
      <c r="C36" s="14" t="s">
        <v>1087</v>
      </c>
      <c r="D36" s="11" t="s">
        <v>169</v>
      </c>
      <c r="E36" s="9">
        <f t="shared" si="0"/>
        <v>9</v>
      </c>
      <c r="I36" s="15"/>
      <c r="J36" s="11"/>
    </row>
    <row r="37" spans="1:10">
      <c r="A37" s="19" t="s">
        <v>343</v>
      </c>
      <c r="B37" s="19">
        <v>33</v>
      </c>
      <c r="C37" s="14" t="s">
        <v>468</v>
      </c>
      <c r="D37" s="11" t="s">
        <v>171</v>
      </c>
      <c r="E37" s="9">
        <f t="shared" si="0"/>
        <v>4</v>
      </c>
      <c r="I37" s="16"/>
      <c r="J37" s="11"/>
    </row>
    <row r="38" spans="1:10">
      <c r="A38" s="19" t="s">
        <v>344</v>
      </c>
      <c r="B38" s="19">
        <v>34</v>
      </c>
      <c r="C38" s="14" t="s">
        <v>469</v>
      </c>
      <c r="D38" s="9" t="s">
        <v>172</v>
      </c>
      <c r="E38" s="9">
        <f t="shared" si="0"/>
        <v>4</v>
      </c>
      <c r="I38" s="16"/>
      <c r="J38" s="11"/>
    </row>
    <row r="39" spans="1:10">
      <c r="A39" s="19" t="s">
        <v>345</v>
      </c>
      <c r="B39" s="19">
        <v>35</v>
      </c>
      <c r="C39" s="14" t="s">
        <v>470</v>
      </c>
      <c r="D39" s="11" t="s">
        <v>1047</v>
      </c>
      <c r="E39" s="9">
        <f t="shared" si="0"/>
        <v>4</v>
      </c>
      <c r="I39" s="16"/>
      <c r="J39" s="11"/>
    </row>
    <row r="40" spans="1:10">
      <c r="A40" s="19" t="s">
        <v>346</v>
      </c>
      <c r="B40" s="19">
        <v>36</v>
      </c>
      <c r="C40" s="14" t="s">
        <v>471</v>
      </c>
      <c r="D40" s="11" t="s">
        <v>174</v>
      </c>
      <c r="E40" s="9">
        <f t="shared" si="0"/>
        <v>4</v>
      </c>
      <c r="I40" s="10"/>
      <c r="J40" s="11"/>
    </row>
    <row r="41" spans="1:10">
      <c r="A41" s="19" t="s">
        <v>1089</v>
      </c>
      <c r="B41" s="19">
        <v>37</v>
      </c>
      <c r="C41" s="14" t="s">
        <v>1088</v>
      </c>
      <c r="D41" s="11" t="s">
        <v>176</v>
      </c>
      <c r="E41" s="9">
        <f t="shared" si="0"/>
        <v>9</v>
      </c>
      <c r="I41" s="10"/>
      <c r="J41" s="11"/>
    </row>
    <row r="42" spans="1:10">
      <c r="A42" s="19" t="s">
        <v>347</v>
      </c>
      <c r="B42" s="19">
        <v>38</v>
      </c>
      <c r="C42" s="14" t="s">
        <v>472</v>
      </c>
      <c r="D42" s="11" t="s">
        <v>177</v>
      </c>
      <c r="E42" s="9">
        <f t="shared" si="0"/>
        <v>4</v>
      </c>
      <c r="I42" s="16"/>
      <c r="J42" s="11"/>
    </row>
    <row r="43" spans="1:10">
      <c r="A43" s="19" t="s">
        <v>348</v>
      </c>
      <c r="B43" s="19">
        <v>39</v>
      </c>
      <c r="C43" s="14" t="s">
        <v>473</v>
      </c>
      <c r="D43" s="11" t="s">
        <v>1048</v>
      </c>
      <c r="E43" s="9">
        <f t="shared" si="0"/>
        <v>4</v>
      </c>
      <c r="I43" s="10"/>
      <c r="J43" s="11"/>
    </row>
    <row r="44" spans="1:10">
      <c r="A44" s="19" t="s">
        <v>349</v>
      </c>
      <c r="B44" s="19">
        <v>40</v>
      </c>
      <c r="C44" s="14" t="s">
        <v>474</v>
      </c>
      <c r="D44" s="11" t="s">
        <v>1049</v>
      </c>
      <c r="E44" s="9">
        <f t="shared" si="0"/>
        <v>4</v>
      </c>
      <c r="I44" s="10"/>
      <c r="J44" s="11"/>
    </row>
    <row r="45" spans="1:10">
      <c r="A45" s="19" t="s">
        <v>350</v>
      </c>
      <c r="B45" s="19">
        <v>41</v>
      </c>
      <c r="C45" s="13" t="s">
        <v>475</v>
      </c>
      <c r="D45" s="11" t="s">
        <v>183</v>
      </c>
      <c r="E45" s="9">
        <f t="shared" si="0"/>
        <v>4</v>
      </c>
      <c r="I45" s="10"/>
      <c r="J45" s="11"/>
    </row>
    <row r="46" spans="1:10">
      <c r="A46" s="19" t="s">
        <v>351</v>
      </c>
      <c r="B46" s="19">
        <v>42</v>
      </c>
      <c r="C46" s="13" t="s">
        <v>492</v>
      </c>
      <c r="D46" s="9" t="s">
        <v>1050</v>
      </c>
      <c r="E46" s="9">
        <f t="shared" si="0"/>
        <v>10</v>
      </c>
      <c r="I46" s="10"/>
      <c r="J46" s="11"/>
    </row>
    <row r="47" spans="1:10">
      <c r="A47" s="19" t="s">
        <v>352</v>
      </c>
      <c r="B47" s="19">
        <v>43</v>
      </c>
      <c r="C47" s="14" t="s">
        <v>476</v>
      </c>
      <c r="D47" s="9" t="s">
        <v>184</v>
      </c>
      <c r="E47" s="9">
        <f t="shared" si="0"/>
        <v>4</v>
      </c>
      <c r="I47" s="10"/>
      <c r="J47" s="11"/>
    </row>
    <row r="48" spans="1:10">
      <c r="A48" s="19" t="s">
        <v>353</v>
      </c>
      <c r="B48" s="19">
        <v>44</v>
      </c>
      <c r="C48" s="14" t="s">
        <v>477</v>
      </c>
      <c r="D48" s="11" t="s">
        <v>189</v>
      </c>
      <c r="E48" s="9">
        <f t="shared" si="0"/>
        <v>4</v>
      </c>
      <c r="I48" s="10"/>
      <c r="J48" s="11"/>
    </row>
    <row r="49" spans="1:10">
      <c r="A49" s="19" t="s">
        <v>354</v>
      </c>
      <c r="B49" s="19">
        <v>45</v>
      </c>
      <c r="C49" s="14" t="s">
        <v>478</v>
      </c>
      <c r="D49" s="9" t="s">
        <v>202</v>
      </c>
      <c r="E49" s="9">
        <f t="shared" si="0"/>
        <v>4</v>
      </c>
      <c r="I49" s="10"/>
      <c r="J49" s="11"/>
    </row>
    <row r="50" spans="1:10">
      <c r="A50" s="19" t="s">
        <v>355</v>
      </c>
      <c r="B50" s="19">
        <v>46</v>
      </c>
      <c r="C50" s="14" t="s">
        <v>479</v>
      </c>
      <c r="D50" s="11" t="s">
        <v>195</v>
      </c>
      <c r="E50" s="9">
        <f t="shared" si="0"/>
        <v>4</v>
      </c>
      <c r="I50" s="10"/>
      <c r="J50" s="11"/>
    </row>
    <row r="51" spans="1:10">
      <c r="A51" s="19" t="s">
        <v>356</v>
      </c>
      <c r="B51" s="19">
        <v>47</v>
      </c>
      <c r="C51" s="14" t="s">
        <v>480</v>
      </c>
      <c r="D51" s="9" t="s">
        <v>437</v>
      </c>
      <c r="E51" s="9">
        <f t="shared" si="0"/>
        <v>4</v>
      </c>
      <c r="I51" s="10"/>
      <c r="J51" s="11"/>
    </row>
    <row r="52" spans="1:10">
      <c r="A52" s="19" t="s">
        <v>357</v>
      </c>
      <c r="B52" s="19">
        <v>48</v>
      </c>
      <c r="C52" s="14" t="s">
        <v>481</v>
      </c>
      <c r="D52" s="11" t="s">
        <v>187</v>
      </c>
      <c r="E52" s="9">
        <f t="shared" si="0"/>
        <v>4</v>
      </c>
      <c r="I52" s="10"/>
      <c r="J52" s="11"/>
    </row>
    <row r="53" spans="1:10">
      <c r="A53" s="19" t="s">
        <v>358</v>
      </c>
      <c r="B53" s="19">
        <v>49</v>
      </c>
      <c r="C53" s="14" t="s">
        <v>482</v>
      </c>
      <c r="D53" s="11" t="s">
        <v>188</v>
      </c>
      <c r="E53" s="9">
        <f t="shared" si="0"/>
        <v>4</v>
      </c>
      <c r="I53" s="10"/>
      <c r="J53" s="11"/>
    </row>
    <row r="54" spans="1:10">
      <c r="A54" s="19" t="s">
        <v>359</v>
      </c>
      <c r="B54" s="19">
        <v>50</v>
      </c>
      <c r="C54" s="14" t="s">
        <v>483</v>
      </c>
      <c r="D54" s="9" t="s">
        <v>1051</v>
      </c>
      <c r="E54" s="9">
        <f t="shared" si="0"/>
        <v>4</v>
      </c>
      <c r="I54" s="10"/>
      <c r="J54" s="11"/>
    </row>
    <row r="55" spans="1:10">
      <c r="A55" s="19" t="s">
        <v>360</v>
      </c>
      <c r="B55" s="19">
        <v>51</v>
      </c>
      <c r="C55" s="14" t="s">
        <v>484</v>
      </c>
      <c r="D55" s="11" t="s">
        <v>205</v>
      </c>
      <c r="E55" s="9">
        <f t="shared" si="0"/>
        <v>4</v>
      </c>
      <c r="I55" s="10"/>
      <c r="J55" s="11"/>
    </row>
    <row r="56" spans="1:10">
      <c r="A56" s="19" t="s">
        <v>361</v>
      </c>
      <c r="B56" s="19">
        <v>52</v>
      </c>
      <c r="C56" s="14" t="s">
        <v>485</v>
      </c>
      <c r="D56" s="11" t="s">
        <v>206</v>
      </c>
      <c r="E56" s="9">
        <f t="shared" si="0"/>
        <v>4</v>
      </c>
      <c r="I56" s="10"/>
      <c r="J56" s="11"/>
    </row>
    <row r="57" spans="1:10">
      <c r="A57" s="19" t="s">
        <v>362</v>
      </c>
      <c r="B57" s="19">
        <v>53</v>
      </c>
      <c r="C57" s="14" t="s">
        <v>486</v>
      </c>
      <c r="D57" s="9" t="s">
        <v>209</v>
      </c>
      <c r="E57" s="9">
        <f t="shared" si="0"/>
        <v>4</v>
      </c>
      <c r="I57" s="10"/>
      <c r="J57" s="11"/>
    </row>
    <row r="58" spans="1:10">
      <c r="A58" s="19" t="s">
        <v>363</v>
      </c>
      <c r="B58" s="19">
        <v>54</v>
      </c>
      <c r="C58" s="14">
        <v>1107</v>
      </c>
      <c r="D58" s="11" t="s">
        <v>1052</v>
      </c>
      <c r="E58" s="9">
        <f t="shared" si="0"/>
        <v>4</v>
      </c>
      <c r="I58" s="10"/>
      <c r="J58" s="11"/>
    </row>
    <row r="59" spans="1:10">
      <c r="A59" s="19" t="s">
        <v>364</v>
      </c>
      <c r="B59" s="19">
        <v>58</v>
      </c>
      <c r="C59" s="14" t="s">
        <v>487</v>
      </c>
      <c r="D59" s="11" t="s">
        <v>205</v>
      </c>
      <c r="E59" s="9">
        <f t="shared" si="0"/>
        <v>4</v>
      </c>
      <c r="I59" s="10"/>
      <c r="J59" s="11"/>
    </row>
    <row r="60" spans="1:10">
      <c r="A60" s="19" t="s">
        <v>365</v>
      </c>
      <c r="B60" s="19">
        <v>59</v>
      </c>
      <c r="C60" s="14" t="s">
        <v>488</v>
      </c>
      <c r="D60" s="11" t="s">
        <v>206</v>
      </c>
      <c r="E60" s="9">
        <f t="shared" si="0"/>
        <v>4</v>
      </c>
      <c r="I60" s="10"/>
      <c r="J60" s="11"/>
    </row>
    <row r="61" spans="1:10">
      <c r="A61" s="19" t="s">
        <v>366</v>
      </c>
      <c r="B61" s="19">
        <v>60</v>
      </c>
      <c r="C61" s="14" t="s">
        <v>489</v>
      </c>
      <c r="D61" s="11" t="s">
        <v>999</v>
      </c>
      <c r="E61" s="9">
        <f t="shared" si="0"/>
        <v>4</v>
      </c>
      <c r="I61" s="10"/>
      <c r="J61" s="11"/>
    </row>
    <row r="62" spans="1:10">
      <c r="I62" s="10"/>
      <c r="J62" s="11"/>
    </row>
    <row r="63" spans="1:10">
      <c r="I63" s="10"/>
      <c r="J63" s="11"/>
    </row>
    <row r="64" spans="1:10">
      <c r="I64" s="16"/>
      <c r="J64" s="11"/>
    </row>
    <row r="65" spans="9:10">
      <c r="I65" s="10"/>
      <c r="J65" s="11"/>
    </row>
    <row r="66" spans="9:10">
      <c r="I66" s="10"/>
      <c r="J66" s="11"/>
    </row>
    <row r="67" spans="9:10">
      <c r="I67" s="10"/>
      <c r="J67" s="11"/>
    </row>
    <row r="68" spans="9:10" ht="45">
      <c r="I68" s="10" t="s">
        <v>371</v>
      </c>
      <c r="J68" s="11"/>
    </row>
    <row r="69" spans="9:10">
      <c r="I69" s="10" t="s">
        <v>372</v>
      </c>
      <c r="J69" s="11"/>
    </row>
    <row r="70" spans="9:10">
      <c r="I70" s="10" t="s">
        <v>373</v>
      </c>
      <c r="J70" s="11"/>
    </row>
    <row r="71" spans="9:10">
      <c r="I71" s="10" t="s">
        <v>374</v>
      </c>
      <c r="J71" s="11" t="s">
        <v>401</v>
      </c>
    </row>
    <row r="72" spans="9:10">
      <c r="I72" s="10" t="s">
        <v>375</v>
      </c>
      <c r="J72" s="11" t="s">
        <v>402</v>
      </c>
    </row>
    <row r="73" spans="9:10">
      <c r="I73" s="10" t="s">
        <v>376</v>
      </c>
      <c r="J73" s="11" t="s">
        <v>403</v>
      </c>
    </row>
    <row r="74" spans="9:10" ht="30">
      <c r="I74" s="10" t="s">
        <v>377</v>
      </c>
      <c r="J74" s="11" t="s">
        <v>404</v>
      </c>
    </row>
    <row r="75" spans="9:10" ht="30">
      <c r="I75" s="10" t="s">
        <v>378</v>
      </c>
      <c r="J75" s="11" t="s">
        <v>405</v>
      </c>
    </row>
    <row r="76" spans="9:10">
      <c r="I76" s="10" t="s">
        <v>379</v>
      </c>
      <c r="J76" s="11" t="s">
        <v>406</v>
      </c>
    </row>
    <row r="77" spans="9:10" ht="30">
      <c r="I77" s="10" t="s">
        <v>380</v>
      </c>
      <c r="J77" s="11" t="s">
        <v>407</v>
      </c>
    </row>
    <row r="78" spans="9:10">
      <c r="I78" s="10" t="s">
        <v>381</v>
      </c>
      <c r="J78" s="11" t="s">
        <v>408</v>
      </c>
    </row>
    <row r="79" spans="9:10">
      <c r="I79" s="10" t="s">
        <v>382</v>
      </c>
      <c r="J79" s="11" t="s">
        <v>409</v>
      </c>
    </row>
    <row r="80" spans="9:10" ht="30">
      <c r="I80" s="10" t="s">
        <v>383</v>
      </c>
      <c r="J80" s="11" t="s">
        <v>410</v>
      </c>
    </row>
    <row r="81" spans="9:10">
      <c r="I81" s="10" t="s">
        <v>384</v>
      </c>
      <c r="J81" s="11" t="s">
        <v>411</v>
      </c>
    </row>
    <row r="82" spans="9:10" ht="30">
      <c r="I82" s="10" t="s">
        <v>385</v>
      </c>
      <c r="J82" s="11" t="s">
        <v>412</v>
      </c>
    </row>
    <row r="83" spans="9:10">
      <c r="I83" s="10" t="s">
        <v>386</v>
      </c>
      <c r="J83" s="11" t="s">
        <v>413</v>
      </c>
    </row>
    <row r="84" spans="9:10" ht="30">
      <c r="I84" s="10" t="s">
        <v>387</v>
      </c>
      <c r="J84" s="11" t="s">
        <v>414</v>
      </c>
    </row>
    <row r="85" spans="9:10">
      <c r="I85" s="10" t="s">
        <v>388</v>
      </c>
      <c r="J85" s="11" t="s">
        <v>415</v>
      </c>
    </row>
    <row r="86" spans="9:10">
      <c r="I86" s="10" t="s">
        <v>389</v>
      </c>
      <c r="J86" s="11" t="s">
        <v>416</v>
      </c>
    </row>
    <row r="87" spans="9:10">
      <c r="I87" s="10" t="s">
        <v>390</v>
      </c>
      <c r="J87" s="11" t="s">
        <v>417</v>
      </c>
    </row>
    <row r="88" spans="9:10" ht="30">
      <c r="I88" s="10" t="s">
        <v>391</v>
      </c>
      <c r="J88" s="11" t="s">
        <v>418</v>
      </c>
    </row>
    <row r="89" spans="9:10">
      <c r="I89" s="10" t="s">
        <v>392</v>
      </c>
      <c r="J89" s="11" t="s">
        <v>419</v>
      </c>
    </row>
    <row r="90" spans="9:10">
      <c r="I90" s="10" t="s">
        <v>393</v>
      </c>
      <c r="J90" s="11" t="s">
        <v>420</v>
      </c>
    </row>
    <row r="91" spans="9:10" ht="30">
      <c r="I91" s="15" t="s">
        <v>394</v>
      </c>
      <c r="J91" s="11" t="s">
        <v>421</v>
      </c>
    </row>
    <row r="92" spans="9:10" ht="30">
      <c r="I92" s="15" t="s">
        <v>395</v>
      </c>
      <c r="J92" s="11" t="s">
        <v>422</v>
      </c>
    </row>
    <row r="93" spans="9:10">
      <c r="I93" s="15" t="s">
        <v>396</v>
      </c>
      <c r="J93" s="11" t="s">
        <v>423</v>
      </c>
    </row>
    <row r="94" spans="9:10" ht="30">
      <c r="I94" s="15" t="s">
        <v>397</v>
      </c>
      <c r="J94" s="11" t="s">
        <v>424</v>
      </c>
    </row>
    <row r="95" spans="9:10" ht="30">
      <c r="I95" s="15" t="s">
        <v>398</v>
      </c>
      <c r="J95" s="11" t="s">
        <v>425</v>
      </c>
    </row>
    <row r="96" spans="9:10">
      <c r="I96" s="12"/>
      <c r="J96" s="11" t="s">
        <v>426</v>
      </c>
    </row>
    <row r="97" spans="9:10">
      <c r="I97" s="12"/>
      <c r="J97" s="11" t="s">
        <v>427</v>
      </c>
    </row>
    <row r="98" spans="9:10">
      <c r="I98" s="12"/>
      <c r="J98" s="11" t="s">
        <v>428</v>
      </c>
    </row>
    <row r="99" spans="9:10">
      <c r="J99" s="11" t="s">
        <v>429</v>
      </c>
    </row>
    <row r="100" spans="9:10">
      <c r="J100" s="11" t="s">
        <v>430</v>
      </c>
    </row>
    <row r="101" spans="9:10">
      <c r="J101" s="11" t="s">
        <v>431</v>
      </c>
    </row>
    <row r="102" spans="9:10">
      <c r="J102" s="11" t="s">
        <v>432</v>
      </c>
    </row>
    <row r="103" spans="9:10">
      <c r="J103" s="9" t="s">
        <v>433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14"/>
  <sheetViews>
    <sheetView topLeftCell="A70" workbookViewId="0">
      <selection activeCell="E110" sqref="E110"/>
    </sheetView>
  </sheetViews>
  <sheetFormatPr defaultRowHeight="15"/>
  <cols>
    <col min="1" max="1" width="26.28515625" customWidth="1"/>
    <col min="2" max="2" width="26.7109375" customWidth="1"/>
    <col min="3" max="3" width="0" hidden="1" customWidth="1"/>
    <col min="4" max="4" width="33.140625" style="8"/>
  </cols>
  <sheetData>
    <row r="1" spans="1:5">
      <c r="A1" s="3"/>
      <c r="B1" s="3"/>
    </row>
    <row r="2" spans="1:5">
      <c r="A2" s="3"/>
      <c r="B2" s="3"/>
    </row>
    <row r="3" spans="1:5">
      <c r="A3" s="3"/>
      <c r="B3" s="3"/>
    </row>
    <row r="4" spans="1:5">
      <c r="A4" s="3" t="s">
        <v>305</v>
      </c>
      <c r="B4" s="3" t="s">
        <v>305</v>
      </c>
      <c r="D4" s="2" t="s">
        <v>311</v>
      </c>
    </row>
    <row r="5" spans="1:5">
      <c r="A5" s="4" t="s">
        <v>31</v>
      </c>
      <c r="B5" s="4" t="s">
        <v>214</v>
      </c>
      <c r="D5" s="1" t="s">
        <v>138</v>
      </c>
      <c r="E5">
        <f>FIND("C",A5)</f>
        <v>1</v>
      </c>
    </row>
    <row r="6" spans="1:5" ht="31.5">
      <c r="A6" s="4" t="s">
        <v>32</v>
      </c>
      <c r="B6" s="4" t="s">
        <v>215</v>
      </c>
      <c r="D6" s="1" t="s">
        <v>660</v>
      </c>
      <c r="E6">
        <f t="shared" ref="E6:E69" si="0">FIND("C",A6)</f>
        <v>3</v>
      </c>
    </row>
    <row r="7" spans="1:5" ht="21">
      <c r="A7" s="4" t="s">
        <v>33</v>
      </c>
      <c r="B7" s="4" t="s">
        <v>216</v>
      </c>
      <c r="D7" s="1" t="s">
        <v>139</v>
      </c>
      <c r="E7">
        <f t="shared" si="0"/>
        <v>5</v>
      </c>
    </row>
    <row r="8" spans="1:5" ht="21">
      <c r="A8" s="4" t="s">
        <v>34</v>
      </c>
      <c r="B8" s="4" t="s">
        <v>257</v>
      </c>
      <c r="D8" s="1" t="s">
        <v>140</v>
      </c>
      <c r="E8">
        <f t="shared" si="0"/>
        <v>7</v>
      </c>
    </row>
    <row r="9" spans="1:5" ht="21">
      <c r="A9" s="4" t="s">
        <v>35</v>
      </c>
      <c r="B9" s="4" t="s">
        <v>258</v>
      </c>
      <c r="D9" s="1" t="s">
        <v>141</v>
      </c>
      <c r="E9">
        <f t="shared" si="0"/>
        <v>7</v>
      </c>
    </row>
    <row r="10" spans="1:5" ht="31.5">
      <c r="A10" s="4" t="s">
        <v>36</v>
      </c>
      <c r="B10" s="4" t="s">
        <v>259</v>
      </c>
      <c r="D10" s="1" t="s">
        <v>142</v>
      </c>
      <c r="E10">
        <f t="shared" si="0"/>
        <v>5</v>
      </c>
    </row>
    <row r="11" spans="1:5" ht="21">
      <c r="A11" s="4" t="s">
        <v>37</v>
      </c>
      <c r="B11" s="4" t="s">
        <v>217</v>
      </c>
      <c r="D11" s="1" t="s">
        <v>813</v>
      </c>
      <c r="E11">
        <f t="shared" si="0"/>
        <v>3</v>
      </c>
    </row>
    <row r="12" spans="1:5" ht="31.5">
      <c r="A12" s="4" t="s">
        <v>38</v>
      </c>
      <c r="B12" s="4" t="s">
        <v>218</v>
      </c>
      <c r="D12" s="1" t="s">
        <v>143</v>
      </c>
      <c r="E12">
        <f t="shared" si="0"/>
        <v>5</v>
      </c>
    </row>
    <row r="13" spans="1:5" ht="21">
      <c r="A13" s="4" t="s">
        <v>39</v>
      </c>
      <c r="B13" s="4" t="s">
        <v>260</v>
      </c>
      <c r="D13" s="1" t="s">
        <v>144</v>
      </c>
      <c r="E13">
        <f t="shared" si="0"/>
        <v>7</v>
      </c>
    </row>
    <row r="14" spans="1:5" ht="31.5">
      <c r="A14" s="4" t="s">
        <v>40</v>
      </c>
      <c r="B14" s="4" t="s">
        <v>261</v>
      </c>
      <c r="D14" s="1" t="s">
        <v>145</v>
      </c>
      <c r="E14">
        <f t="shared" si="0"/>
        <v>7</v>
      </c>
    </row>
    <row r="15" spans="1:5" ht="21">
      <c r="A15" s="4" t="s">
        <v>41</v>
      </c>
      <c r="B15" s="4" t="s">
        <v>262</v>
      </c>
      <c r="D15" s="1" t="s">
        <v>146</v>
      </c>
      <c r="E15">
        <f t="shared" si="0"/>
        <v>7</v>
      </c>
    </row>
    <row r="16" spans="1:5" ht="31.5">
      <c r="A16" s="4" t="s">
        <v>42</v>
      </c>
      <c r="B16" s="4" t="s">
        <v>219</v>
      </c>
      <c r="D16" s="1" t="s">
        <v>147</v>
      </c>
      <c r="E16">
        <f t="shared" si="0"/>
        <v>5</v>
      </c>
    </row>
    <row r="17" spans="1:5">
      <c r="A17" s="4" t="s">
        <v>43</v>
      </c>
      <c r="B17" s="4" t="s">
        <v>263</v>
      </c>
      <c r="D17" s="1" t="s">
        <v>148</v>
      </c>
      <c r="E17">
        <f t="shared" si="0"/>
        <v>7</v>
      </c>
    </row>
    <row r="18" spans="1:5" ht="21">
      <c r="A18" s="4" t="s">
        <v>44</v>
      </c>
      <c r="B18" s="4" t="s">
        <v>264</v>
      </c>
      <c r="D18" s="1" t="s">
        <v>149</v>
      </c>
      <c r="E18">
        <f t="shared" si="0"/>
        <v>7</v>
      </c>
    </row>
    <row r="19" spans="1:5">
      <c r="A19" s="4" t="s">
        <v>45</v>
      </c>
      <c r="B19" s="4" t="s">
        <v>220</v>
      </c>
      <c r="D19" s="1" t="s">
        <v>150</v>
      </c>
      <c r="E19">
        <f t="shared" si="0"/>
        <v>3</v>
      </c>
    </row>
    <row r="20" spans="1:5" ht="21">
      <c r="A20" s="4" t="s">
        <v>46</v>
      </c>
      <c r="B20" s="4" t="s">
        <v>221</v>
      </c>
      <c r="D20" s="1" t="s">
        <v>151</v>
      </c>
      <c r="E20">
        <f t="shared" si="0"/>
        <v>5</v>
      </c>
    </row>
    <row r="21" spans="1:5" ht="21">
      <c r="A21" s="4" t="s">
        <v>47</v>
      </c>
      <c r="B21" s="4" t="s">
        <v>265</v>
      </c>
      <c r="D21" s="1" t="s">
        <v>152</v>
      </c>
      <c r="E21">
        <f t="shared" si="0"/>
        <v>7</v>
      </c>
    </row>
    <row r="22" spans="1:5">
      <c r="A22" s="4" t="s">
        <v>48</v>
      </c>
      <c r="B22" s="4" t="s">
        <v>14</v>
      </c>
      <c r="D22" s="1" t="s">
        <v>153</v>
      </c>
      <c r="E22">
        <f t="shared" si="0"/>
        <v>7</v>
      </c>
    </row>
    <row r="23" spans="1:5" ht="31.5">
      <c r="A23" s="4" t="s">
        <v>49</v>
      </c>
      <c r="B23" s="4" t="s">
        <v>222</v>
      </c>
      <c r="D23" s="1" t="s">
        <v>814</v>
      </c>
      <c r="E23">
        <f t="shared" si="0"/>
        <v>5</v>
      </c>
    </row>
    <row r="24" spans="1:5" ht="21">
      <c r="A24" s="4" t="s">
        <v>50</v>
      </c>
      <c r="B24" s="4" t="s">
        <v>223</v>
      </c>
      <c r="D24" s="1" t="s">
        <v>154</v>
      </c>
      <c r="E24">
        <f t="shared" si="0"/>
        <v>7</v>
      </c>
    </row>
    <row r="25" spans="1:5">
      <c r="A25" s="4" t="s">
        <v>51</v>
      </c>
      <c r="B25" s="4" t="s">
        <v>15</v>
      </c>
      <c r="D25" s="1" t="s">
        <v>155</v>
      </c>
      <c r="E25">
        <f t="shared" si="0"/>
        <v>9</v>
      </c>
    </row>
    <row r="26" spans="1:5" ht="21">
      <c r="A26" s="4" t="s">
        <v>52</v>
      </c>
      <c r="B26" s="4" t="s">
        <v>16</v>
      </c>
      <c r="D26" s="1" t="s">
        <v>156</v>
      </c>
      <c r="E26">
        <f t="shared" si="0"/>
        <v>9</v>
      </c>
    </row>
    <row r="27" spans="1:5" ht="21">
      <c r="A27" s="4" t="s">
        <v>53</v>
      </c>
      <c r="B27" s="4" t="s">
        <v>17</v>
      </c>
      <c r="D27" s="1" t="s">
        <v>157</v>
      </c>
      <c r="E27">
        <f t="shared" si="0"/>
        <v>7</v>
      </c>
    </row>
    <row r="28" spans="1:5" ht="21">
      <c r="A28" s="4" t="s">
        <v>54</v>
      </c>
      <c r="B28" s="4" t="s">
        <v>18</v>
      </c>
      <c r="D28" s="1" t="s">
        <v>158</v>
      </c>
      <c r="E28">
        <f t="shared" si="0"/>
        <v>5</v>
      </c>
    </row>
    <row r="29" spans="1:5" ht="31.5">
      <c r="A29" s="4" t="s">
        <v>55</v>
      </c>
      <c r="B29" s="4" t="s">
        <v>224</v>
      </c>
      <c r="D29" s="1" t="s">
        <v>159</v>
      </c>
      <c r="E29">
        <f t="shared" si="0"/>
        <v>5</v>
      </c>
    </row>
    <row r="30" spans="1:5" ht="21">
      <c r="A30" s="4" t="s">
        <v>56</v>
      </c>
      <c r="B30" s="4" t="s">
        <v>19</v>
      </c>
      <c r="D30" s="1" t="s">
        <v>160</v>
      </c>
      <c r="E30">
        <f t="shared" si="0"/>
        <v>7</v>
      </c>
    </row>
    <row r="31" spans="1:5" ht="21">
      <c r="A31" s="4" t="s">
        <v>57</v>
      </c>
      <c r="B31" s="4" t="s">
        <v>20</v>
      </c>
      <c r="D31" s="1" t="s">
        <v>161</v>
      </c>
      <c r="E31">
        <f t="shared" si="0"/>
        <v>7</v>
      </c>
    </row>
    <row r="32" spans="1:5" ht="21">
      <c r="A32" s="4" t="s">
        <v>58</v>
      </c>
      <c r="B32" s="4" t="s">
        <v>225</v>
      </c>
      <c r="D32" s="1" t="s">
        <v>815</v>
      </c>
      <c r="E32">
        <f t="shared" si="0"/>
        <v>5</v>
      </c>
    </row>
    <row r="33" spans="1:5" ht="31.5">
      <c r="A33" s="4" t="s">
        <v>59</v>
      </c>
      <c r="B33" s="4" t="s">
        <v>21</v>
      </c>
      <c r="D33" s="1" t="s">
        <v>162</v>
      </c>
      <c r="E33">
        <f t="shared" si="0"/>
        <v>7</v>
      </c>
    </row>
    <row r="34" spans="1:5" ht="21">
      <c r="A34" s="4" t="s">
        <v>60</v>
      </c>
      <c r="B34" s="4" t="s">
        <v>22</v>
      </c>
      <c r="D34" s="1" t="s">
        <v>163</v>
      </c>
      <c r="E34">
        <f t="shared" si="0"/>
        <v>7</v>
      </c>
    </row>
    <row r="35" spans="1:5" ht="21">
      <c r="A35" s="4" t="s">
        <v>61</v>
      </c>
      <c r="B35" s="4" t="s">
        <v>266</v>
      </c>
      <c r="D35" s="1"/>
      <c r="E35">
        <f t="shared" si="0"/>
        <v>9</v>
      </c>
    </row>
    <row r="36" spans="1:5">
      <c r="A36" s="4" t="s">
        <v>62</v>
      </c>
      <c r="B36" s="4" t="s">
        <v>267</v>
      </c>
      <c r="D36" s="1"/>
      <c r="E36">
        <f t="shared" si="0"/>
        <v>9</v>
      </c>
    </row>
    <row r="37" spans="1:5" ht="21">
      <c r="A37" s="4" t="s">
        <v>63</v>
      </c>
      <c r="B37" s="4" t="s">
        <v>23</v>
      </c>
      <c r="D37" s="1" t="s">
        <v>164</v>
      </c>
      <c r="E37">
        <f t="shared" si="0"/>
        <v>7</v>
      </c>
    </row>
    <row r="38" spans="1:5" ht="21">
      <c r="A38" s="4" t="s">
        <v>64</v>
      </c>
      <c r="B38" s="4" t="s">
        <v>24</v>
      </c>
      <c r="D38" s="1" t="s">
        <v>165</v>
      </c>
      <c r="E38">
        <f t="shared" si="0"/>
        <v>5</v>
      </c>
    </row>
    <row r="39" spans="1:5" ht="21">
      <c r="A39" s="4" t="s">
        <v>65</v>
      </c>
      <c r="B39" s="4" t="s">
        <v>226</v>
      </c>
      <c r="D39" s="1" t="s">
        <v>166</v>
      </c>
      <c r="E39">
        <f t="shared" si="0"/>
        <v>5</v>
      </c>
    </row>
    <row r="40" spans="1:5">
      <c r="A40" s="4" t="s">
        <v>66</v>
      </c>
      <c r="B40" s="4" t="s">
        <v>25</v>
      </c>
      <c r="D40" s="1" t="s">
        <v>167</v>
      </c>
      <c r="E40">
        <f t="shared" si="0"/>
        <v>7</v>
      </c>
    </row>
    <row r="41" spans="1:5">
      <c r="A41" s="4" t="s">
        <v>67</v>
      </c>
      <c r="B41" s="4" t="s">
        <v>227</v>
      </c>
      <c r="D41" s="1" t="s">
        <v>438</v>
      </c>
      <c r="E41">
        <f t="shared" si="0"/>
        <v>9</v>
      </c>
    </row>
    <row r="42" spans="1:5" ht="21">
      <c r="A42" s="4" t="s">
        <v>68</v>
      </c>
      <c r="B42" s="4" t="s">
        <v>228</v>
      </c>
      <c r="D42" s="1" t="s">
        <v>1041</v>
      </c>
      <c r="E42">
        <f t="shared" si="0"/>
        <v>9</v>
      </c>
    </row>
    <row r="43" spans="1:5" ht="31.5">
      <c r="A43" s="4" t="s">
        <v>69</v>
      </c>
      <c r="B43" s="4" t="s">
        <v>26</v>
      </c>
      <c r="D43" s="1" t="s">
        <v>168</v>
      </c>
      <c r="E43">
        <f t="shared" si="0"/>
        <v>7</v>
      </c>
    </row>
    <row r="44" spans="1:5" ht="21">
      <c r="A44" s="4" t="s">
        <v>70</v>
      </c>
      <c r="B44" s="4" t="s">
        <v>229</v>
      </c>
      <c r="D44" s="1" t="s">
        <v>667</v>
      </c>
      <c r="E44">
        <f t="shared" si="0"/>
        <v>5</v>
      </c>
    </row>
    <row r="45" spans="1:5" ht="21">
      <c r="A45" s="4" t="s">
        <v>71</v>
      </c>
      <c r="B45" s="4" t="s">
        <v>27</v>
      </c>
      <c r="D45" s="1" t="s">
        <v>169</v>
      </c>
      <c r="E45">
        <f t="shared" si="0"/>
        <v>7</v>
      </c>
    </row>
    <row r="46" spans="1:5" ht="21">
      <c r="A46" s="4" t="s">
        <v>72</v>
      </c>
      <c r="B46" s="4" t="s">
        <v>230</v>
      </c>
      <c r="D46" s="1" t="s">
        <v>170</v>
      </c>
      <c r="E46">
        <f t="shared" si="0"/>
        <v>7</v>
      </c>
    </row>
    <row r="47" spans="1:5" ht="21">
      <c r="A47" s="4" t="s">
        <v>73</v>
      </c>
      <c r="B47" s="4" t="s">
        <v>28</v>
      </c>
      <c r="D47" s="1" t="s">
        <v>171</v>
      </c>
      <c r="E47">
        <f t="shared" si="0"/>
        <v>9</v>
      </c>
    </row>
    <row r="48" spans="1:5" ht="31.5">
      <c r="A48" s="4" t="s">
        <v>74</v>
      </c>
      <c r="B48" s="4" t="s">
        <v>268</v>
      </c>
      <c r="D48" s="1" t="s">
        <v>172</v>
      </c>
      <c r="E48">
        <f t="shared" si="0"/>
        <v>9</v>
      </c>
    </row>
    <row r="49" spans="1:5" ht="31.5">
      <c r="A49" s="4" t="s">
        <v>75</v>
      </c>
      <c r="B49" s="4" t="s">
        <v>269</v>
      </c>
      <c r="D49" s="1" t="s">
        <v>173</v>
      </c>
      <c r="E49">
        <f t="shared" si="0"/>
        <v>9</v>
      </c>
    </row>
    <row r="50" spans="1:5" ht="21">
      <c r="A50" s="4" t="s">
        <v>76</v>
      </c>
      <c r="B50" s="4" t="s">
        <v>29</v>
      </c>
      <c r="D50" s="1" t="s">
        <v>174</v>
      </c>
      <c r="E50">
        <f t="shared" si="0"/>
        <v>9</v>
      </c>
    </row>
    <row r="51" spans="1:5" ht="21">
      <c r="A51" s="4" t="s">
        <v>77</v>
      </c>
      <c r="B51" s="4" t="s">
        <v>231</v>
      </c>
      <c r="D51" s="1" t="s">
        <v>175</v>
      </c>
      <c r="E51">
        <f t="shared" si="0"/>
        <v>5</v>
      </c>
    </row>
    <row r="52" spans="1:5" ht="21">
      <c r="A52" s="4" t="s">
        <v>78</v>
      </c>
      <c r="B52" s="4" t="s">
        <v>270</v>
      </c>
      <c r="D52" s="1" t="s">
        <v>176</v>
      </c>
      <c r="E52">
        <f t="shared" si="0"/>
        <v>7</v>
      </c>
    </row>
    <row r="53" spans="1:5" ht="21">
      <c r="A53" s="4" t="s">
        <v>79</v>
      </c>
      <c r="B53" s="4" t="s">
        <v>271</v>
      </c>
      <c r="D53" s="1" t="s">
        <v>177</v>
      </c>
      <c r="E53">
        <f t="shared" si="0"/>
        <v>7</v>
      </c>
    </row>
    <row r="54" spans="1:5" ht="21">
      <c r="A54" s="4" t="s">
        <v>80</v>
      </c>
      <c r="B54" s="4" t="s">
        <v>272</v>
      </c>
      <c r="D54" s="1"/>
      <c r="E54">
        <f t="shared" si="0"/>
        <v>9</v>
      </c>
    </row>
    <row r="55" spans="1:5" ht="21">
      <c r="A55" s="4" t="s">
        <v>81</v>
      </c>
      <c r="B55" s="4" t="s">
        <v>273</v>
      </c>
      <c r="D55" s="1"/>
      <c r="E55">
        <f t="shared" si="0"/>
        <v>9</v>
      </c>
    </row>
    <row r="56" spans="1:5" ht="31.5">
      <c r="A56" s="4" t="s">
        <v>82</v>
      </c>
      <c r="B56" s="4" t="s">
        <v>232</v>
      </c>
      <c r="D56" s="1"/>
      <c r="E56">
        <f t="shared" si="0"/>
        <v>9</v>
      </c>
    </row>
    <row r="57" spans="1:5" ht="21">
      <c r="A57" s="4" t="s">
        <v>83</v>
      </c>
      <c r="B57" s="4" t="s">
        <v>233</v>
      </c>
      <c r="D57" s="1" t="s">
        <v>178</v>
      </c>
      <c r="E57">
        <f t="shared" si="0"/>
        <v>5</v>
      </c>
    </row>
    <row r="58" spans="1:5">
      <c r="A58" s="4" t="s">
        <v>84</v>
      </c>
      <c r="B58" s="4" t="s">
        <v>274</v>
      </c>
      <c r="D58" s="1" t="s">
        <v>367</v>
      </c>
      <c r="E58">
        <f t="shared" si="0"/>
        <v>7</v>
      </c>
    </row>
    <row r="59" spans="1:5">
      <c r="A59" s="4" t="s">
        <v>85</v>
      </c>
      <c r="B59" s="4" t="s">
        <v>275</v>
      </c>
      <c r="D59" s="1" t="s">
        <v>179</v>
      </c>
      <c r="E59">
        <f t="shared" si="0"/>
        <v>7</v>
      </c>
    </row>
    <row r="60" spans="1:5" ht="21">
      <c r="A60" s="4" t="s">
        <v>86</v>
      </c>
      <c r="B60" s="4" t="s">
        <v>234</v>
      </c>
      <c r="D60" s="1" t="s">
        <v>180</v>
      </c>
      <c r="E60">
        <f t="shared" si="0"/>
        <v>3</v>
      </c>
    </row>
    <row r="61" spans="1:5" ht="21">
      <c r="A61" s="4" t="s">
        <v>87</v>
      </c>
      <c r="B61" s="4" t="s">
        <v>276</v>
      </c>
      <c r="D61" s="1" t="s">
        <v>181</v>
      </c>
      <c r="E61">
        <f t="shared" si="0"/>
        <v>5</v>
      </c>
    </row>
    <row r="62" spans="1:5" ht="21">
      <c r="A62" s="4" t="s">
        <v>88</v>
      </c>
      <c r="B62" s="4" t="s">
        <v>277</v>
      </c>
      <c r="D62" s="1" t="s">
        <v>182</v>
      </c>
      <c r="E62">
        <f t="shared" si="0"/>
        <v>5</v>
      </c>
    </row>
    <row r="63" spans="1:5">
      <c r="A63" s="4" t="s">
        <v>89</v>
      </c>
      <c r="B63" s="4" t="s">
        <v>278</v>
      </c>
      <c r="D63" s="1" t="s">
        <v>183</v>
      </c>
      <c r="E63">
        <f t="shared" si="0"/>
        <v>3</v>
      </c>
    </row>
    <row r="64" spans="1:5" ht="31.5">
      <c r="A64" s="4" t="s">
        <v>90</v>
      </c>
      <c r="B64" s="4" t="s">
        <v>235</v>
      </c>
      <c r="D64" s="1" t="s">
        <v>816</v>
      </c>
      <c r="E64">
        <f t="shared" si="0"/>
        <v>3</v>
      </c>
    </row>
    <row r="65" spans="1:5" ht="21">
      <c r="A65" s="4" t="s">
        <v>91</v>
      </c>
      <c r="B65" s="4" t="s">
        <v>236</v>
      </c>
      <c r="D65" s="1" t="s">
        <v>184</v>
      </c>
      <c r="E65">
        <f t="shared" si="0"/>
        <v>5</v>
      </c>
    </row>
    <row r="66" spans="1:5" ht="42">
      <c r="A66" s="4" t="s">
        <v>92</v>
      </c>
      <c r="B66" s="4" t="s">
        <v>279</v>
      </c>
      <c r="D66" s="1" t="s">
        <v>185</v>
      </c>
      <c r="E66">
        <f t="shared" si="0"/>
        <v>7</v>
      </c>
    </row>
    <row r="67" spans="1:5" ht="31.5">
      <c r="A67" s="4" t="s">
        <v>93</v>
      </c>
      <c r="B67" s="4" t="s">
        <v>280</v>
      </c>
      <c r="D67" s="1" t="s">
        <v>186</v>
      </c>
      <c r="E67">
        <f t="shared" si="0"/>
        <v>7</v>
      </c>
    </row>
    <row r="68" spans="1:5" ht="31.5">
      <c r="A68" s="4" t="s">
        <v>94</v>
      </c>
      <c r="B68" s="4" t="s">
        <v>281</v>
      </c>
      <c r="D68" s="1" t="s">
        <v>187</v>
      </c>
      <c r="E68">
        <f t="shared" si="0"/>
        <v>7</v>
      </c>
    </row>
    <row r="69" spans="1:5">
      <c r="A69" s="4" t="s">
        <v>95</v>
      </c>
      <c r="B69" s="4" t="s">
        <v>282</v>
      </c>
      <c r="D69" s="1" t="s">
        <v>188</v>
      </c>
      <c r="E69">
        <f t="shared" si="0"/>
        <v>5</v>
      </c>
    </row>
    <row r="70" spans="1:5" ht="31.5">
      <c r="A70" s="4" t="s">
        <v>96</v>
      </c>
      <c r="B70" s="4" t="s">
        <v>237</v>
      </c>
      <c r="D70" s="1" t="s">
        <v>189</v>
      </c>
      <c r="E70">
        <f t="shared" ref="E70:E109" si="1">FIND("C",A70)</f>
        <v>3</v>
      </c>
    </row>
    <row r="71" spans="1:5" ht="21">
      <c r="A71" s="4" t="s">
        <v>97</v>
      </c>
      <c r="B71" s="4" t="s">
        <v>238</v>
      </c>
      <c r="D71" s="1" t="s">
        <v>671</v>
      </c>
      <c r="E71">
        <f t="shared" si="1"/>
        <v>5</v>
      </c>
    </row>
    <row r="72" spans="1:5" ht="21">
      <c r="A72" s="4" t="s">
        <v>98</v>
      </c>
      <c r="B72" s="4" t="s">
        <v>283</v>
      </c>
      <c r="D72" s="1" t="s">
        <v>190</v>
      </c>
      <c r="E72">
        <f t="shared" si="1"/>
        <v>7</v>
      </c>
    </row>
    <row r="73" spans="1:5">
      <c r="A73" s="4" t="s">
        <v>99</v>
      </c>
      <c r="B73" s="4" t="s">
        <v>284</v>
      </c>
      <c r="D73" s="1" t="s">
        <v>191</v>
      </c>
      <c r="E73">
        <f t="shared" si="1"/>
        <v>7</v>
      </c>
    </row>
    <row r="74" spans="1:5">
      <c r="A74" s="4" t="s">
        <v>100</v>
      </c>
      <c r="B74" s="4" t="s">
        <v>285</v>
      </c>
      <c r="D74" s="1" t="s">
        <v>192</v>
      </c>
      <c r="E74">
        <f t="shared" si="1"/>
        <v>7</v>
      </c>
    </row>
    <row r="75" spans="1:5" ht="21">
      <c r="A75" s="4" t="s">
        <v>101</v>
      </c>
      <c r="B75" s="4" t="s">
        <v>286</v>
      </c>
      <c r="D75" s="1" t="s">
        <v>193</v>
      </c>
      <c r="E75">
        <f t="shared" si="1"/>
        <v>7</v>
      </c>
    </row>
    <row r="76" spans="1:5" ht="21">
      <c r="A76" s="4" t="s">
        <v>102</v>
      </c>
      <c r="B76" s="4" t="s">
        <v>287</v>
      </c>
      <c r="D76" s="1" t="s">
        <v>194</v>
      </c>
      <c r="E76">
        <f t="shared" si="1"/>
        <v>5</v>
      </c>
    </row>
    <row r="77" spans="1:5" ht="31.5">
      <c r="A77" s="4" t="s">
        <v>103</v>
      </c>
      <c r="B77" s="4" t="s">
        <v>239</v>
      </c>
      <c r="D77" s="1" t="s">
        <v>817</v>
      </c>
      <c r="E77">
        <f t="shared" si="1"/>
        <v>3</v>
      </c>
    </row>
    <row r="78" spans="1:5" ht="21">
      <c r="A78" s="4" t="s">
        <v>104</v>
      </c>
      <c r="B78" s="4" t="s">
        <v>240</v>
      </c>
      <c r="D78" s="1" t="s">
        <v>195</v>
      </c>
      <c r="E78">
        <f t="shared" si="1"/>
        <v>5</v>
      </c>
    </row>
    <row r="79" spans="1:5" ht="42">
      <c r="A79" s="4" t="s">
        <v>105</v>
      </c>
      <c r="B79" s="4" t="s">
        <v>288</v>
      </c>
      <c r="D79" s="1" t="s">
        <v>196</v>
      </c>
      <c r="E79">
        <f t="shared" si="1"/>
        <v>7</v>
      </c>
    </row>
    <row r="80" spans="1:5" ht="31.5">
      <c r="A80" s="4" t="s">
        <v>106</v>
      </c>
      <c r="B80" s="4" t="s">
        <v>289</v>
      </c>
      <c r="D80" s="1" t="s">
        <v>197</v>
      </c>
      <c r="E80">
        <f t="shared" si="1"/>
        <v>7</v>
      </c>
    </row>
    <row r="81" spans="1:5" ht="21">
      <c r="A81" s="4" t="s">
        <v>107</v>
      </c>
      <c r="B81" s="4" t="s">
        <v>290</v>
      </c>
      <c r="D81" s="1" t="s">
        <v>198</v>
      </c>
      <c r="E81">
        <f t="shared" si="1"/>
        <v>7</v>
      </c>
    </row>
    <row r="82" spans="1:5" ht="21">
      <c r="A82" s="4" t="s">
        <v>108</v>
      </c>
      <c r="B82" s="4" t="s">
        <v>241</v>
      </c>
      <c r="D82" s="1" t="s">
        <v>199</v>
      </c>
      <c r="E82">
        <f t="shared" si="1"/>
        <v>5</v>
      </c>
    </row>
    <row r="83" spans="1:5">
      <c r="A83" s="4" t="s">
        <v>109</v>
      </c>
      <c r="B83" s="4" t="s">
        <v>291</v>
      </c>
      <c r="D83" s="1" t="s">
        <v>200</v>
      </c>
      <c r="E83">
        <f t="shared" si="1"/>
        <v>7</v>
      </c>
    </row>
    <row r="84" spans="1:5" ht="31.5">
      <c r="A84" s="4" t="s">
        <v>110</v>
      </c>
      <c r="B84" s="4" t="s">
        <v>242</v>
      </c>
      <c r="D84" s="1" t="s">
        <v>213</v>
      </c>
      <c r="E84">
        <f t="shared" si="1"/>
        <v>7</v>
      </c>
    </row>
    <row r="85" spans="1:5" ht="21">
      <c r="A85" s="4" t="s">
        <v>111</v>
      </c>
      <c r="B85" s="4" t="s">
        <v>292</v>
      </c>
      <c r="D85" s="1" t="s">
        <v>201</v>
      </c>
      <c r="E85">
        <f t="shared" si="1"/>
        <v>9</v>
      </c>
    </row>
    <row r="86" spans="1:5" ht="21">
      <c r="A86" s="4" t="s">
        <v>112</v>
      </c>
      <c r="B86" s="4" t="s">
        <v>293</v>
      </c>
      <c r="D86" s="1" t="s">
        <v>202</v>
      </c>
      <c r="E86">
        <f t="shared" si="1"/>
        <v>9</v>
      </c>
    </row>
    <row r="87" spans="1:5" ht="21">
      <c r="A87" s="4" t="s">
        <v>113</v>
      </c>
      <c r="B87" s="4" t="s">
        <v>294</v>
      </c>
      <c r="D87" s="1" t="s">
        <v>203</v>
      </c>
      <c r="E87">
        <f t="shared" si="1"/>
        <v>9</v>
      </c>
    </row>
    <row r="88" spans="1:5" ht="21">
      <c r="A88" s="4" t="s">
        <v>114</v>
      </c>
      <c r="B88" s="4" t="s">
        <v>295</v>
      </c>
      <c r="D88" s="1" t="s">
        <v>204</v>
      </c>
      <c r="E88">
        <f t="shared" si="1"/>
        <v>9</v>
      </c>
    </row>
    <row r="89" spans="1:5" ht="31.5">
      <c r="A89" s="4" t="s">
        <v>115</v>
      </c>
      <c r="B89" s="4" t="s">
        <v>243</v>
      </c>
      <c r="D89" s="1" t="s">
        <v>1043</v>
      </c>
      <c r="E89">
        <f t="shared" si="1"/>
        <v>3</v>
      </c>
    </row>
    <row r="90" spans="1:5" ht="31.5">
      <c r="A90" s="4" t="s">
        <v>116</v>
      </c>
      <c r="B90" s="4" t="s">
        <v>296</v>
      </c>
      <c r="D90" s="1" t="s">
        <v>999</v>
      </c>
      <c r="E90">
        <f t="shared" si="1"/>
        <v>5</v>
      </c>
    </row>
    <row r="91" spans="1:5">
      <c r="A91" s="4" t="s">
        <v>117</v>
      </c>
      <c r="B91" s="4" t="s">
        <v>297</v>
      </c>
      <c r="D91" s="1" t="s">
        <v>205</v>
      </c>
      <c r="E91">
        <f t="shared" si="1"/>
        <v>5</v>
      </c>
    </row>
    <row r="92" spans="1:5">
      <c r="A92" s="4" t="s">
        <v>118</v>
      </c>
      <c r="B92" s="4" t="s">
        <v>298</v>
      </c>
      <c r="D92" s="1" t="s">
        <v>206</v>
      </c>
      <c r="E92">
        <f t="shared" si="1"/>
        <v>5</v>
      </c>
    </row>
    <row r="93" spans="1:5" ht="21">
      <c r="A93" s="4" t="s">
        <v>119</v>
      </c>
      <c r="B93" s="4" t="s">
        <v>244</v>
      </c>
      <c r="D93" s="1" t="s">
        <v>207</v>
      </c>
      <c r="E93">
        <f t="shared" si="1"/>
        <v>5</v>
      </c>
    </row>
    <row r="94" spans="1:5" ht="31.5">
      <c r="A94" s="4" t="s">
        <v>120</v>
      </c>
      <c r="B94" s="4" t="s">
        <v>299</v>
      </c>
      <c r="D94" s="1" t="s">
        <v>208</v>
      </c>
      <c r="E94">
        <f t="shared" si="1"/>
        <v>7</v>
      </c>
    </row>
    <row r="95" spans="1:5" ht="31.5">
      <c r="A95" s="4" t="s">
        <v>121</v>
      </c>
      <c r="B95" s="4" t="s">
        <v>300</v>
      </c>
      <c r="D95" s="1" t="s">
        <v>209</v>
      </c>
      <c r="E95">
        <f t="shared" si="1"/>
        <v>7</v>
      </c>
    </row>
    <row r="96" spans="1:5" ht="21">
      <c r="A96" s="4" t="s">
        <v>122</v>
      </c>
      <c r="B96" s="4" t="s">
        <v>301</v>
      </c>
      <c r="D96" s="1" t="s">
        <v>210</v>
      </c>
      <c r="E96">
        <f t="shared" si="1"/>
        <v>7</v>
      </c>
    </row>
    <row r="97" spans="1:5" ht="21">
      <c r="A97" s="4" t="s">
        <v>123</v>
      </c>
      <c r="B97" s="4" t="s">
        <v>302</v>
      </c>
      <c r="D97" s="1" t="s">
        <v>211</v>
      </c>
      <c r="E97">
        <f t="shared" si="1"/>
        <v>7</v>
      </c>
    </row>
    <row r="98" spans="1:5" ht="21">
      <c r="A98" s="4" t="s">
        <v>124</v>
      </c>
      <c r="B98" s="4" t="s">
        <v>303</v>
      </c>
      <c r="D98" s="8" t="s">
        <v>212</v>
      </c>
      <c r="E98">
        <f t="shared" si="1"/>
        <v>5</v>
      </c>
    </row>
    <row r="99" spans="1:5" ht="21">
      <c r="A99" s="4" t="s">
        <v>125</v>
      </c>
      <c r="B99" s="4" t="s">
        <v>245</v>
      </c>
      <c r="E99">
        <f t="shared" si="1"/>
        <v>1</v>
      </c>
    </row>
    <row r="100" spans="1:5" ht="31.5">
      <c r="A100" s="4" t="s">
        <v>126</v>
      </c>
      <c r="B100" s="4" t="s">
        <v>246</v>
      </c>
      <c r="E100">
        <f t="shared" si="1"/>
        <v>1</v>
      </c>
    </row>
    <row r="101" spans="1:5">
      <c r="A101" s="4" t="s">
        <v>127</v>
      </c>
      <c r="B101" s="4" t="s">
        <v>247</v>
      </c>
      <c r="E101">
        <f t="shared" si="1"/>
        <v>1</v>
      </c>
    </row>
    <row r="102" spans="1:5" ht="21">
      <c r="A102" s="4" t="s">
        <v>128</v>
      </c>
      <c r="B102" s="4" t="s">
        <v>248</v>
      </c>
      <c r="E102">
        <f t="shared" si="1"/>
        <v>1</v>
      </c>
    </row>
    <row r="103" spans="1:5" ht="31.5">
      <c r="A103" s="4" t="s">
        <v>129</v>
      </c>
      <c r="B103" s="4" t="s">
        <v>249</v>
      </c>
      <c r="E103">
        <f t="shared" si="1"/>
        <v>1</v>
      </c>
    </row>
    <row r="104" spans="1:5" ht="31.5">
      <c r="A104" s="4" t="s">
        <v>130</v>
      </c>
      <c r="B104" s="4" t="s">
        <v>250</v>
      </c>
      <c r="E104">
        <f t="shared" si="1"/>
        <v>1</v>
      </c>
    </row>
    <row r="105" spans="1:5" ht="21">
      <c r="A105" s="4" t="s">
        <v>131</v>
      </c>
      <c r="B105" s="4" t="s">
        <v>251</v>
      </c>
      <c r="E105">
        <f t="shared" si="1"/>
        <v>5</v>
      </c>
    </row>
    <row r="106" spans="1:5" ht="21">
      <c r="A106" s="4" t="s">
        <v>132</v>
      </c>
      <c r="B106" s="4" t="s">
        <v>252</v>
      </c>
      <c r="E106">
        <f t="shared" si="1"/>
        <v>5</v>
      </c>
    </row>
    <row r="107" spans="1:5" ht="21">
      <c r="A107" s="4" t="s">
        <v>133</v>
      </c>
      <c r="B107" s="4" t="s">
        <v>253</v>
      </c>
      <c r="E107">
        <f t="shared" si="1"/>
        <v>5</v>
      </c>
    </row>
    <row r="108" spans="1:5" ht="21">
      <c r="A108" s="4" t="s">
        <v>134</v>
      </c>
      <c r="B108" s="4" t="s">
        <v>254</v>
      </c>
      <c r="E108">
        <f t="shared" si="1"/>
        <v>5</v>
      </c>
    </row>
    <row r="109" spans="1:5" ht="21">
      <c r="A109" s="4" t="s">
        <v>135</v>
      </c>
      <c r="B109" s="4" t="s">
        <v>255</v>
      </c>
      <c r="E109">
        <f t="shared" si="1"/>
        <v>6</v>
      </c>
    </row>
    <row r="110" spans="1:5" ht="21">
      <c r="A110" s="4" t="s">
        <v>136</v>
      </c>
      <c r="B110" s="4" t="s">
        <v>256</v>
      </c>
      <c r="E110">
        <v>9</v>
      </c>
    </row>
    <row r="111" spans="1:5">
      <c r="A111" s="5" t="s">
        <v>137</v>
      </c>
      <c r="B111" s="5" t="s">
        <v>304</v>
      </c>
    </row>
    <row r="112" spans="1:5">
      <c r="A112" s="6"/>
      <c r="B112" s="6"/>
    </row>
    <row r="113" spans="1:2">
      <c r="A113" s="7"/>
      <c r="B113" s="7"/>
    </row>
    <row r="114" spans="1:2">
      <c r="A114" s="7"/>
      <c r="B114" s="7"/>
    </row>
  </sheetData>
  <hyperlinks>
    <hyperlink ref="A111" r:id="rId1" tooltip="Click once to display linked information. Click and hold to select this cell." display="http://stats.oecd.org/"/>
    <hyperlink ref="B111" r:id="rId2" tooltip="Click once to display linked information. Click and hold to select this cell." display="http://stats.oecd.org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38"/>
  <sheetViews>
    <sheetView topLeftCell="B1" workbookViewId="0">
      <selection activeCell="E6" sqref="E6:E38"/>
    </sheetView>
  </sheetViews>
  <sheetFormatPr defaultRowHeight="15"/>
  <cols>
    <col min="1" max="1" width="36.140625" style="63" hidden="1" customWidth="1"/>
    <col min="2" max="2" width="36.140625" style="63" customWidth="1"/>
    <col min="3" max="3" width="10.5703125" style="64" hidden="1" customWidth="1"/>
  </cols>
  <sheetData>
    <row r="4" spans="1:5">
      <c r="A4" s="63" t="s">
        <v>766</v>
      </c>
      <c r="B4" s="63" t="s">
        <v>30</v>
      </c>
      <c r="C4" s="64" t="s">
        <v>1004</v>
      </c>
      <c r="D4" s="51" t="s">
        <v>1039</v>
      </c>
    </row>
    <row r="5" spans="1:5">
      <c r="A5" s="63" t="s">
        <v>1005</v>
      </c>
      <c r="B5" s="63">
        <v>1</v>
      </c>
      <c r="C5" s="64" t="s">
        <v>1006</v>
      </c>
      <c r="D5" s="1" t="s">
        <v>138</v>
      </c>
      <c r="E5">
        <v>1</v>
      </c>
    </row>
    <row r="6" spans="1:5">
      <c r="A6" s="63" t="s">
        <v>1007</v>
      </c>
      <c r="B6" s="63">
        <v>2</v>
      </c>
      <c r="C6" s="64" t="s">
        <v>894</v>
      </c>
      <c r="D6" s="50" t="s">
        <v>660</v>
      </c>
      <c r="E6">
        <v>2</v>
      </c>
    </row>
    <row r="7" spans="1:5">
      <c r="A7" s="63" t="s">
        <v>1008</v>
      </c>
      <c r="B7" s="63">
        <v>3</v>
      </c>
      <c r="C7" s="64" t="s">
        <v>0</v>
      </c>
      <c r="D7" s="50" t="s">
        <v>813</v>
      </c>
      <c r="E7">
        <v>2</v>
      </c>
    </row>
    <row r="8" spans="1:5">
      <c r="A8" s="63" t="s">
        <v>1009</v>
      </c>
      <c r="B8" s="63">
        <v>4</v>
      </c>
      <c r="C8" s="64" t="s">
        <v>898</v>
      </c>
      <c r="D8" s="60" t="s">
        <v>151</v>
      </c>
      <c r="E8">
        <v>2</v>
      </c>
    </row>
    <row r="9" spans="1:5">
      <c r="A9" s="63" t="s">
        <v>1010</v>
      </c>
      <c r="B9" s="63">
        <v>5</v>
      </c>
      <c r="C9" s="64" t="s">
        <v>902</v>
      </c>
      <c r="D9" s="60" t="s">
        <v>154</v>
      </c>
      <c r="E9">
        <v>2</v>
      </c>
    </row>
    <row r="10" spans="1:5">
      <c r="A10" s="63" t="s">
        <v>1011</v>
      </c>
      <c r="B10" s="63">
        <v>6</v>
      </c>
      <c r="C10" s="64">
        <v>19</v>
      </c>
      <c r="D10" s="50" t="s">
        <v>157</v>
      </c>
      <c r="E10">
        <v>2</v>
      </c>
    </row>
    <row r="11" spans="1:5">
      <c r="A11" s="63" t="s">
        <v>1012</v>
      </c>
      <c r="B11" s="63">
        <v>7</v>
      </c>
      <c r="C11" s="64">
        <v>20</v>
      </c>
      <c r="D11" s="50" t="s">
        <v>158</v>
      </c>
      <c r="E11">
        <v>2</v>
      </c>
    </row>
    <row r="12" spans="1:5">
      <c r="A12" s="63" t="s">
        <v>1013</v>
      </c>
      <c r="B12" s="63">
        <v>8</v>
      </c>
      <c r="C12" s="64" t="s">
        <v>906</v>
      </c>
      <c r="D12" s="60" t="s">
        <v>159</v>
      </c>
      <c r="E12">
        <v>2</v>
      </c>
    </row>
    <row r="13" spans="1:5">
      <c r="A13" s="63" t="s">
        <v>1014</v>
      </c>
      <c r="B13" s="63">
        <v>9</v>
      </c>
      <c r="C13" s="64">
        <v>23</v>
      </c>
      <c r="D13" s="50" t="s">
        <v>162</v>
      </c>
      <c r="E13">
        <v>2</v>
      </c>
    </row>
    <row r="14" spans="1:5">
      <c r="A14" s="63" t="s">
        <v>1015</v>
      </c>
      <c r="B14" s="63">
        <v>10</v>
      </c>
      <c r="C14" s="64">
        <v>24</v>
      </c>
      <c r="D14" s="50" t="s">
        <v>163</v>
      </c>
      <c r="E14">
        <v>2</v>
      </c>
    </row>
    <row r="15" spans="1:5">
      <c r="A15" s="63" t="s">
        <v>1016</v>
      </c>
      <c r="B15" s="63">
        <v>11</v>
      </c>
      <c r="C15" s="64">
        <v>25</v>
      </c>
      <c r="D15" s="50" t="s">
        <v>164</v>
      </c>
      <c r="E15">
        <v>2</v>
      </c>
    </row>
    <row r="16" spans="1:5">
      <c r="A16" s="63" t="s">
        <v>1017</v>
      </c>
      <c r="B16" s="63">
        <v>12</v>
      </c>
      <c r="C16" s="64">
        <v>26</v>
      </c>
      <c r="D16" s="50" t="s">
        <v>165</v>
      </c>
      <c r="E16">
        <v>2</v>
      </c>
    </row>
    <row r="17" spans="1:5">
      <c r="A17" s="63" t="s">
        <v>1018</v>
      </c>
      <c r="B17" s="63">
        <v>13</v>
      </c>
      <c r="C17" s="64" t="s">
        <v>913</v>
      </c>
      <c r="D17" s="59" t="s">
        <v>166</v>
      </c>
      <c r="E17">
        <v>2</v>
      </c>
    </row>
    <row r="18" spans="1:5">
      <c r="A18" s="63" t="s">
        <v>1019</v>
      </c>
      <c r="B18" s="63">
        <v>14</v>
      </c>
      <c r="C18" s="64">
        <v>29</v>
      </c>
      <c r="D18" s="50" t="s">
        <v>169</v>
      </c>
      <c r="E18">
        <v>2</v>
      </c>
    </row>
    <row r="19" spans="1:5">
      <c r="A19" s="63" t="s">
        <v>1020</v>
      </c>
      <c r="B19" s="63">
        <v>15</v>
      </c>
      <c r="C19" s="64" t="s">
        <v>916</v>
      </c>
      <c r="D19" s="60" t="s">
        <v>170</v>
      </c>
      <c r="E19">
        <v>2</v>
      </c>
    </row>
    <row r="20" spans="1:5">
      <c r="A20" s="63" t="s">
        <v>1021</v>
      </c>
      <c r="B20" s="63">
        <v>16</v>
      </c>
      <c r="C20" s="64" t="s">
        <v>918</v>
      </c>
      <c r="D20" s="60" t="s">
        <v>175</v>
      </c>
      <c r="E20">
        <v>2</v>
      </c>
    </row>
    <row r="21" spans="1:5">
      <c r="A21" s="63" t="s">
        <v>1022</v>
      </c>
      <c r="B21" s="63">
        <v>17</v>
      </c>
      <c r="C21" s="64" t="s">
        <v>920</v>
      </c>
      <c r="D21" s="50" t="s">
        <v>178</v>
      </c>
      <c r="E21">
        <v>2</v>
      </c>
    </row>
    <row r="22" spans="1:5">
      <c r="A22" s="63" t="s">
        <v>1023</v>
      </c>
      <c r="B22" s="63">
        <v>18</v>
      </c>
      <c r="C22" s="64" t="s">
        <v>2</v>
      </c>
      <c r="D22" s="60" t="s">
        <v>180</v>
      </c>
      <c r="E22">
        <v>2</v>
      </c>
    </row>
    <row r="23" spans="1:5">
      <c r="A23" s="63" t="s">
        <v>800</v>
      </c>
      <c r="B23" s="63">
        <v>19</v>
      </c>
      <c r="C23" s="64" t="s">
        <v>3</v>
      </c>
      <c r="D23" s="50" t="s">
        <v>183</v>
      </c>
      <c r="E23">
        <v>2</v>
      </c>
    </row>
    <row r="24" spans="1:5">
      <c r="A24" s="63" t="s">
        <v>1024</v>
      </c>
      <c r="B24" s="63">
        <v>20</v>
      </c>
      <c r="C24" s="64" t="s">
        <v>1025</v>
      </c>
      <c r="D24" s="60" t="s">
        <v>184</v>
      </c>
      <c r="E24">
        <v>2</v>
      </c>
    </row>
    <row r="25" spans="1:5">
      <c r="A25" s="63" t="s">
        <v>1026</v>
      </c>
      <c r="B25" s="63">
        <v>21</v>
      </c>
      <c r="C25" s="64" t="s">
        <v>5</v>
      </c>
      <c r="D25" s="50" t="s">
        <v>188</v>
      </c>
      <c r="E25">
        <v>2</v>
      </c>
    </row>
    <row r="26" spans="1:5">
      <c r="A26" s="63" t="s">
        <v>1027</v>
      </c>
      <c r="B26" s="63">
        <v>22</v>
      </c>
      <c r="C26" s="64">
        <v>60</v>
      </c>
      <c r="D26" s="50" t="s">
        <v>190</v>
      </c>
      <c r="E26">
        <v>2</v>
      </c>
    </row>
    <row r="27" spans="1:5">
      <c r="A27" s="63" t="s">
        <v>1028</v>
      </c>
      <c r="B27" s="63">
        <v>23</v>
      </c>
      <c r="C27" s="64">
        <v>61</v>
      </c>
      <c r="D27" s="50" t="s">
        <v>191</v>
      </c>
      <c r="E27">
        <v>2</v>
      </c>
    </row>
    <row r="28" spans="1:5">
      <c r="A28" s="63" t="s">
        <v>1029</v>
      </c>
      <c r="B28" s="63">
        <v>24</v>
      </c>
      <c r="C28" s="64">
        <v>62</v>
      </c>
      <c r="D28" s="50" t="s">
        <v>192</v>
      </c>
      <c r="E28">
        <v>2</v>
      </c>
    </row>
    <row r="29" spans="1:5">
      <c r="A29" s="63" t="s">
        <v>1030</v>
      </c>
      <c r="B29" s="63">
        <v>25</v>
      </c>
      <c r="C29" s="64">
        <v>63</v>
      </c>
      <c r="D29" s="50" t="s">
        <v>193</v>
      </c>
      <c r="E29">
        <v>2</v>
      </c>
    </row>
    <row r="30" spans="1:5">
      <c r="A30" s="63" t="s">
        <v>1031</v>
      </c>
      <c r="B30" s="63">
        <v>26</v>
      </c>
      <c r="C30" s="64">
        <v>64</v>
      </c>
      <c r="D30" s="50" t="s">
        <v>194</v>
      </c>
      <c r="E30">
        <v>2</v>
      </c>
    </row>
    <row r="31" spans="1:5">
      <c r="A31" s="63" t="s">
        <v>1032</v>
      </c>
      <c r="B31" s="63">
        <v>27</v>
      </c>
      <c r="C31" s="64" t="s">
        <v>7</v>
      </c>
      <c r="D31" s="50" t="s">
        <v>195</v>
      </c>
      <c r="E31">
        <v>2</v>
      </c>
    </row>
    <row r="32" spans="1:5">
      <c r="A32" s="63" t="s">
        <v>1033</v>
      </c>
      <c r="B32" s="63">
        <v>28</v>
      </c>
      <c r="C32" s="64">
        <v>70</v>
      </c>
      <c r="D32" s="50" t="s">
        <v>200</v>
      </c>
      <c r="E32">
        <v>2</v>
      </c>
    </row>
    <row r="33" spans="1:5">
      <c r="A33" s="63" t="s">
        <v>1034</v>
      </c>
      <c r="B33" s="63">
        <v>29</v>
      </c>
      <c r="C33" s="64" t="s">
        <v>939</v>
      </c>
      <c r="D33" s="50" t="s">
        <v>213</v>
      </c>
      <c r="E33">
        <v>2</v>
      </c>
    </row>
    <row r="34" spans="1:5">
      <c r="A34" s="63" t="s">
        <v>1035</v>
      </c>
      <c r="B34" s="63">
        <v>30</v>
      </c>
      <c r="C34" s="64" t="s">
        <v>9</v>
      </c>
      <c r="D34" s="50" t="s">
        <v>999</v>
      </c>
      <c r="E34">
        <v>2</v>
      </c>
    </row>
    <row r="35" spans="1:5">
      <c r="A35" s="63" t="s">
        <v>887</v>
      </c>
      <c r="B35" s="63">
        <v>31</v>
      </c>
      <c r="C35" s="64" t="s">
        <v>10</v>
      </c>
      <c r="D35" s="50" t="s">
        <v>205</v>
      </c>
      <c r="E35">
        <v>2</v>
      </c>
    </row>
    <row r="36" spans="1:5">
      <c r="A36" s="63" t="s">
        <v>1036</v>
      </c>
      <c r="B36" s="63">
        <v>32</v>
      </c>
      <c r="C36" s="64" t="s">
        <v>11</v>
      </c>
      <c r="D36" s="50" t="s">
        <v>206</v>
      </c>
      <c r="E36">
        <v>2</v>
      </c>
    </row>
    <row r="37" spans="1:5">
      <c r="A37" s="63" t="s">
        <v>1037</v>
      </c>
      <c r="B37" s="63">
        <v>33</v>
      </c>
      <c r="C37" s="64" t="s">
        <v>12</v>
      </c>
      <c r="D37" s="50" t="s">
        <v>1001</v>
      </c>
      <c r="E37">
        <v>2</v>
      </c>
    </row>
    <row r="38" spans="1:5">
      <c r="A38" s="63" t="s">
        <v>1038</v>
      </c>
      <c r="B38" s="63">
        <v>34</v>
      </c>
      <c r="C38" s="64" t="s">
        <v>13</v>
      </c>
      <c r="D38" s="50" t="s">
        <v>212</v>
      </c>
      <c r="E3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B1" workbookViewId="0">
      <selection activeCell="E6" sqref="E6:E28"/>
    </sheetView>
  </sheetViews>
  <sheetFormatPr defaultColWidth="15.7109375" defaultRowHeight="12.75"/>
  <cols>
    <col min="1" max="1" width="0" style="29" hidden="1" customWidth="1"/>
    <col min="2" max="2" width="15.7109375" style="29"/>
    <col min="3" max="3" width="0" style="29" hidden="1" customWidth="1"/>
    <col min="4" max="4" width="15.7109375" style="20"/>
    <col min="5" max="16384" width="15.7109375" style="22"/>
  </cols>
  <sheetData>
    <row r="1" spans="1:7">
      <c r="A1" s="23"/>
      <c r="B1" s="23"/>
      <c r="C1" s="23"/>
    </row>
    <row r="2" spans="1:7">
      <c r="A2" s="23"/>
      <c r="B2" s="23"/>
      <c r="C2" s="23"/>
    </row>
    <row r="3" spans="1:7">
      <c r="A3" s="23"/>
      <c r="B3" s="23"/>
      <c r="C3" s="23"/>
    </row>
    <row r="4" spans="1:7">
      <c r="A4" s="20" t="s">
        <v>496</v>
      </c>
      <c r="B4" s="27" t="s">
        <v>30</v>
      </c>
      <c r="C4" s="20"/>
      <c r="D4" s="21" t="s">
        <v>520</v>
      </c>
    </row>
    <row r="5" spans="1:7" ht="15">
      <c r="A5" s="20" t="s">
        <v>1084</v>
      </c>
      <c r="B5" s="68" t="s">
        <v>1085</v>
      </c>
      <c r="C5" s="20"/>
      <c r="D5" s="1" t="s">
        <v>150</v>
      </c>
      <c r="E5" s="22">
        <v>1</v>
      </c>
    </row>
    <row r="6" spans="1:7">
      <c r="A6" s="20" t="s">
        <v>497</v>
      </c>
      <c r="B6" s="20">
        <v>15</v>
      </c>
      <c r="C6" s="20"/>
      <c r="D6" s="22" t="s">
        <v>152</v>
      </c>
      <c r="E6" s="24">
        <v>2</v>
      </c>
      <c r="G6" s="25"/>
    </row>
    <row r="7" spans="1:7">
      <c r="A7" s="20" t="s">
        <v>498</v>
      </c>
      <c r="B7" s="20">
        <v>16</v>
      </c>
      <c r="C7" s="20"/>
      <c r="D7" s="22" t="s">
        <v>153</v>
      </c>
      <c r="E7" s="24">
        <v>2</v>
      </c>
      <c r="G7" s="25"/>
    </row>
    <row r="8" spans="1:7">
      <c r="A8" s="20" t="s">
        <v>499</v>
      </c>
      <c r="B8" s="20">
        <v>17</v>
      </c>
      <c r="C8" s="20"/>
      <c r="D8" s="22" t="s">
        <v>155</v>
      </c>
      <c r="E8" s="24">
        <v>2</v>
      </c>
    </row>
    <row r="9" spans="1:7">
      <c r="A9" s="20" t="s">
        <v>500</v>
      </c>
      <c r="B9" s="20">
        <v>18</v>
      </c>
      <c r="C9" s="20"/>
      <c r="D9" s="22" t="s">
        <v>1053</v>
      </c>
      <c r="E9" s="24">
        <v>2</v>
      </c>
    </row>
    <row r="10" spans="1:7">
      <c r="A10" s="20" t="s">
        <v>501</v>
      </c>
      <c r="B10" s="20">
        <v>19</v>
      </c>
      <c r="C10" s="20"/>
      <c r="D10" s="22" t="s">
        <v>157</v>
      </c>
      <c r="E10" s="24">
        <v>2</v>
      </c>
    </row>
    <row r="11" spans="1:7">
      <c r="A11" s="20" t="s">
        <v>502</v>
      </c>
      <c r="B11" s="20">
        <v>20</v>
      </c>
      <c r="C11" s="20"/>
      <c r="D11" s="22" t="s">
        <v>158</v>
      </c>
      <c r="E11" s="24">
        <v>2</v>
      </c>
    </row>
    <row r="12" spans="1:7">
      <c r="A12" s="20" t="s">
        <v>503</v>
      </c>
      <c r="B12" s="20">
        <v>21</v>
      </c>
      <c r="C12" s="20"/>
      <c r="D12" s="22" t="s">
        <v>160</v>
      </c>
      <c r="E12" s="24">
        <v>2</v>
      </c>
    </row>
    <row r="13" spans="1:7">
      <c r="A13" s="20" t="s">
        <v>504</v>
      </c>
      <c r="B13" s="20">
        <v>22</v>
      </c>
      <c r="C13" s="20"/>
      <c r="D13" s="22" t="s">
        <v>161</v>
      </c>
      <c r="E13" s="24">
        <v>2</v>
      </c>
    </row>
    <row r="14" spans="1:7">
      <c r="A14" s="20" t="s">
        <v>505</v>
      </c>
      <c r="B14" s="20">
        <v>23</v>
      </c>
      <c r="C14" s="20"/>
      <c r="D14" s="22" t="s">
        <v>162</v>
      </c>
      <c r="E14" s="24">
        <v>2</v>
      </c>
    </row>
    <row r="15" spans="1:7">
      <c r="A15" s="20" t="s">
        <v>506</v>
      </c>
      <c r="B15" s="20">
        <v>24</v>
      </c>
      <c r="C15" s="20"/>
      <c r="D15" s="22" t="s">
        <v>163</v>
      </c>
      <c r="E15" s="24">
        <v>2</v>
      </c>
    </row>
    <row r="16" spans="1:7">
      <c r="A16" s="20" t="s">
        <v>507</v>
      </c>
      <c r="B16" s="20">
        <v>25</v>
      </c>
      <c r="C16" s="20"/>
      <c r="D16" s="22" t="s">
        <v>164</v>
      </c>
      <c r="E16" s="24">
        <v>2</v>
      </c>
    </row>
    <row r="17" spans="1:5">
      <c r="A17" s="20" t="s">
        <v>508</v>
      </c>
      <c r="B17" s="20">
        <v>26</v>
      </c>
      <c r="C17" s="20"/>
      <c r="D17" s="22" t="s">
        <v>165</v>
      </c>
      <c r="E17" s="24">
        <v>2</v>
      </c>
    </row>
    <row r="18" spans="1:5">
      <c r="A18" s="20" t="s">
        <v>509</v>
      </c>
      <c r="B18" s="20">
        <v>27</v>
      </c>
      <c r="C18" s="20"/>
      <c r="D18" s="22" t="s">
        <v>167</v>
      </c>
      <c r="E18" s="24">
        <v>2</v>
      </c>
    </row>
    <row r="19" spans="1:5">
      <c r="A19" s="20" t="s">
        <v>510</v>
      </c>
      <c r="B19" s="20">
        <v>28</v>
      </c>
      <c r="C19" s="20"/>
      <c r="D19" s="22" t="s">
        <v>168</v>
      </c>
      <c r="E19" s="24">
        <v>2</v>
      </c>
    </row>
    <row r="20" spans="1:5">
      <c r="A20" s="20" t="s">
        <v>511</v>
      </c>
      <c r="B20" s="20">
        <v>29</v>
      </c>
      <c r="C20" s="20"/>
      <c r="D20" s="22" t="s">
        <v>169</v>
      </c>
      <c r="E20" s="24">
        <v>2</v>
      </c>
    </row>
    <row r="21" spans="1:5">
      <c r="A21" s="20" t="s">
        <v>512</v>
      </c>
      <c r="B21" s="20">
        <v>30</v>
      </c>
      <c r="C21" s="20"/>
      <c r="D21" s="26" t="s">
        <v>171</v>
      </c>
      <c r="E21" s="24">
        <v>2</v>
      </c>
    </row>
    <row r="22" spans="1:5">
      <c r="A22" s="20" t="s">
        <v>513</v>
      </c>
      <c r="B22" s="20">
        <v>31</v>
      </c>
      <c r="C22" s="20"/>
      <c r="D22" s="22" t="s">
        <v>172</v>
      </c>
      <c r="E22" s="24">
        <v>2</v>
      </c>
    </row>
    <row r="23" spans="1:5">
      <c r="A23" s="20" t="s">
        <v>514</v>
      </c>
      <c r="B23" s="20">
        <v>32</v>
      </c>
      <c r="C23" s="20"/>
      <c r="D23" s="22" t="s">
        <v>173</v>
      </c>
      <c r="E23" s="24">
        <v>2</v>
      </c>
    </row>
    <row r="24" spans="1:5">
      <c r="A24" s="20" t="s">
        <v>515</v>
      </c>
      <c r="B24" s="20">
        <v>33</v>
      </c>
      <c r="C24" s="20"/>
      <c r="D24" s="22" t="s">
        <v>174</v>
      </c>
      <c r="E24" s="24">
        <v>2</v>
      </c>
    </row>
    <row r="25" spans="1:5">
      <c r="A25" s="20" t="s">
        <v>516</v>
      </c>
      <c r="B25" s="20">
        <v>34</v>
      </c>
      <c r="C25" s="20"/>
      <c r="D25" s="22" t="s">
        <v>176</v>
      </c>
      <c r="E25" s="24">
        <v>2</v>
      </c>
    </row>
    <row r="26" spans="1:5">
      <c r="A26" s="20" t="s">
        <v>517</v>
      </c>
      <c r="B26" s="20">
        <v>35</v>
      </c>
      <c r="C26" s="20"/>
      <c r="D26" s="22" t="s">
        <v>177</v>
      </c>
      <c r="E26" s="24">
        <v>2</v>
      </c>
    </row>
    <row r="27" spans="1:5">
      <c r="A27" s="20" t="s">
        <v>518</v>
      </c>
      <c r="B27" s="20">
        <v>36</v>
      </c>
      <c r="C27" s="20"/>
      <c r="D27" s="22" t="s">
        <v>367</v>
      </c>
      <c r="E27" s="24">
        <v>2</v>
      </c>
    </row>
    <row r="28" spans="1:5">
      <c r="A28" s="20" t="s">
        <v>519</v>
      </c>
      <c r="B28" s="20">
        <v>37</v>
      </c>
      <c r="C28" s="20"/>
      <c r="D28" s="22" t="s">
        <v>179</v>
      </c>
      <c r="E28" s="24">
        <v>2</v>
      </c>
    </row>
    <row r="29" spans="1:5">
      <c r="A29" s="27"/>
      <c r="B29" s="27"/>
      <c r="C29" s="27"/>
      <c r="D29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workbookViewId="0">
      <selection activeCell="J11" sqref="J11"/>
    </sheetView>
  </sheetViews>
  <sheetFormatPr defaultColWidth="18.7109375" defaultRowHeight="15"/>
  <cols>
    <col min="1" max="1" width="30" style="30" customWidth="1"/>
    <col min="2" max="2" width="18.7109375" style="31"/>
    <col min="3" max="3" width="23.7109375" style="31" customWidth="1"/>
    <col min="4" max="5" width="18.7109375" style="18"/>
    <col min="6" max="6" width="0" style="18" hidden="1" customWidth="1"/>
    <col min="7" max="7" width="18.7109375" style="18"/>
    <col min="8" max="8" width="0" style="18" hidden="1" customWidth="1"/>
    <col min="9" max="9" width="87.5703125" style="18" customWidth="1"/>
    <col min="10" max="16384" width="18.7109375" style="18"/>
  </cols>
  <sheetData>
    <row r="1" spans="1:10">
      <c r="D1" s="69"/>
    </row>
    <row r="4" spans="1:10">
      <c r="A4" s="35" t="s">
        <v>679</v>
      </c>
      <c r="B4" s="35" t="s">
        <v>678</v>
      </c>
      <c r="C4" s="35" t="s">
        <v>680</v>
      </c>
      <c r="D4" s="17" t="s">
        <v>677</v>
      </c>
      <c r="F4" s="35" t="s">
        <v>681</v>
      </c>
      <c r="G4" s="35" t="s">
        <v>682</v>
      </c>
      <c r="H4" s="35" t="s">
        <v>683</v>
      </c>
      <c r="I4" s="17" t="s">
        <v>677</v>
      </c>
    </row>
    <row r="5" spans="1:10">
      <c r="A5" s="35" t="s">
        <v>1080</v>
      </c>
      <c r="B5" s="30">
        <v>1</v>
      </c>
      <c r="C5" s="35"/>
      <c r="D5" s="1" t="s">
        <v>138</v>
      </c>
      <c r="E5" s="18">
        <f>LEN(C5)+1</f>
        <v>1</v>
      </c>
      <c r="F5" s="35" t="s">
        <v>1080</v>
      </c>
      <c r="G5" s="35">
        <v>1</v>
      </c>
      <c r="H5" s="35"/>
      <c r="I5" s="1" t="s">
        <v>138</v>
      </c>
      <c r="J5" s="18">
        <v>1</v>
      </c>
    </row>
    <row r="6" spans="1:10">
      <c r="A6" s="30" t="s">
        <v>521</v>
      </c>
      <c r="B6" s="30">
        <v>2</v>
      </c>
      <c r="C6" s="31">
        <v>1</v>
      </c>
      <c r="D6" s="18" t="s">
        <v>708</v>
      </c>
      <c r="E6" s="18">
        <f t="shared" ref="E6:E69" si="0">LEN(C6)+1</f>
        <v>2</v>
      </c>
      <c r="F6" s="38" t="s">
        <v>684</v>
      </c>
      <c r="G6" s="35">
        <v>2</v>
      </c>
      <c r="H6" s="39">
        <v>1</v>
      </c>
      <c r="I6" s="18" t="str">
        <f>D6&amp;D9&amp;D13</f>
        <v>i01.a;i01.b;i01.c;i01.d;i01.e;i01.f;i01.g;i01.h;i01.i;i01.j;i01.k;i01.l;i01.m;i01.n;i01.o;i02;i05;</v>
      </c>
      <c r="J6" s="18">
        <v>2</v>
      </c>
    </row>
    <row r="7" spans="1:10">
      <c r="A7" s="30" t="s">
        <v>522</v>
      </c>
      <c r="B7" s="30">
        <v>3</v>
      </c>
      <c r="C7" s="31">
        <v>1.1000000000000001</v>
      </c>
      <c r="D7" s="18" t="s">
        <v>434</v>
      </c>
      <c r="E7" s="18">
        <f t="shared" si="0"/>
        <v>4</v>
      </c>
      <c r="F7" s="38" t="s">
        <v>685</v>
      </c>
      <c r="G7" s="35">
        <v>3</v>
      </c>
      <c r="H7" s="39">
        <v>1.1000000000000001</v>
      </c>
      <c r="I7" s="18" t="s">
        <v>708</v>
      </c>
      <c r="J7" s="18">
        <v>3</v>
      </c>
    </row>
    <row r="8" spans="1:10">
      <c r="A8" s="30" t="s">
        <v>523</v>
      </c>
      <c r="B8" s="30">
        <v>4</v>
      </c>
      <c r="C8" s="31">
        <v>1.2</v>
      </c>
      <c r="D8" s="18" t="s">
        <v>662</v>
      </c>
      <c r="E8" s="18">
        <f t="shared" si="0"/>
        <v>4</v>
      </c>
      <c r="F8" s="38" t="s">
        <v>686</v>
      </c>
      <c r="G8" s="35">
        <v>4</v>
      </c>
      <c r="H8" s="39">
        <v>1.2</v>
      </c>
      <c r="I8" s="18" t="s">
        <v>141</v>
      </c>
      <c r="J8" s="18">
        <v>3</v>
      </c>
    </row>
    <row r="9" spans="1:10">
      <c r="A9" s="30" t="s">
        <v>524</v>
      </c>
      <c r="B9" s="30">
        <v>5</v>
      </c>
      <c r="C9" s="31">
        <v>1</v>
      </c>
      <c r="D9" s="18" t="s">
        <v>141</v>
      </c>
      <c r="E9" s="18">
        <f t="shared" si="0"/>
        <v>2</v>
      </c>
      <c r="F9" s="38" t="s">
        <v>687</v>
      </c>
      <c r="G9" s="35">
        <v>5</v>
      </c>
      <c r="H9" s="39">
        <v>1.3</v>
      </c>
      <c r="I9" s="18" t="s">
        <v>142</v>
      </c>
      <c r="J9" s="18">
        <v>3</v>
      </c>
    </row>
    <row r="10" spans="1:10">
      <c r="A10" s="30" t="s">
        <v>525</v>
      </c>
      <c r="B10" s="30">
        <v>6</v>
      </c>
      <c r="C10" s="31">
        <v>1.1000000000000001</v>
      </c>
      <c r="E10" s="18">
        <f t="shared" si="0"/>
        <v>4</v>
      </c>
      <c r="F10" s="38" t="s">
        <v>688</v>
      </c>
      <c r="G10" s="35">
        <v>6</v>
      </c>
      <c r="H10" s="39">
        <v>2</v>
      </c>
      <c r="I10" s="18" t="s">
        <v>813</v>
      </c>
      <c r="J10" s="18">
        <v>2</v>
      </c>
    </row>
    <row r="11" spans="1:10">
      <c r="A11" s="30" t="s">
        <v>526</v>
      </c>
      <c r="B11" s="30">
        <v>7</v>
      </c>
      <c r="C11" s="31">
        <v>1.2</v>
      </c>
      <c r="E11" s="18">
        <f t="shared" si="0"/>
        <v>4</v>
      </c>
      <c r="F11" s="38" t="s">
        <v>689</v>
      </c>
      <c r="G11" s="35">
        <v>7</v>
      </c>
      <c r="H11" s="39">
        <v>3</v>
      </c>
      <c r="I11" s="18" t="s">
        <v>150</v>
      </c>
      <c r="J11" s="18">
        <v>2</v>
      </c>
    </row>
    <row r="12" spans="1:10">
      <c r="A12" s="30" t="s">
        <v>527</v>
      </c>
      <c r="B12" s="30">
        <v>8</v>
      </c>
      <c r="C12" s="31">
        <v>1.3</v>
      </c>
      <c r="E12" s="18">
        <f t="shared" si="0"/>
        <v>4</v>
      </c>
      <c r="F12" s="38" t="s">
        <v>690</v>
      </c>
      <c r="G12" s="35">
        <v>8</v>
      </c>
      <c r="H12" s="39">
        <v>3.1</v>
      </c>
      <c r="I12" s="18" t="s">
        <v>150</v>
      </c>
      <c r="J12" s="18">
        <v>3</v>
      </c>
    </row>
    <row r="13" spans="1:10">
      <c r="A13" s="30" t="s">
        <v>528</v>
      </c>
      <c r="B13" s="30">
        <v>9</v>
      </c>
      <c r="C13" s="31">
        <v>1</v>
      </c>
      <c r="D13" s="18" t="s">
        <v>142</v>
      </c>
      <c r="E13" s="18">
        <f t="shared" si="0"/>
        <v>2</v>
      </c>
      <c r="F13" s="38" t="s">
        <v>691</v>
      </c>
      <c r="G13" s="35">
        <v>9</v>
      </c>
      <c r="H13" s="39">
        <v>3.2</v>
      </c>
      <c r="I13" s="18" t="s">
        <v>150</v>
      </c>
      <c r="J13" s="18">
        <v>4</v>
      </c>
    </row>
    <row r="14" spans="1:10">
      <c r="A14" s="30" t="s">
        <v>529</v>
      </c>
      <c r="B14" s="30">
        <v>10</v>
      </c>
      <c r="C14" s="31">
        <v>1.1000000000000001</v>
      </c>
      <c r="E14" s="18">
        <f t="shared" si="0"/>
        <v>4</v>
      </c>
      <c r="F14" s="38" t="s">
        <v>692</v>
      </c>
      <c r="G14" s="35">
        <v>10</v>
      </c>
      <c r="H14" s="39">
        <v>4</v>
      </c>
      <c r="I14" s="18" t="s">
        <v>180</v>
      </c>
      <c r="J14" s="18">
        <v>2</v>
      </c>
    </row>
    <row r="15" spans="1:10">
      <c r="A15" s="30" t="s">
        <v>530</v>
      </c>
      <c r="B15" s="30">
        <v>11</v>
      </c>
      <c r="C15" s="31">
        <v>1.2</v>
      </c>
      <c r="E15" s="18">
        <f t="shared" si="0"/>
        <v>4</v>
      </c>
      <c r="F15" s="38" t="s">
        <v>693</v>
      </c>
      <c r="G15" s="35">
        <v>11</v>
      </c>
      <c r="H15" s="39">
        <v>5</v>
      </c>
      <c r="I15" s="18" t="s">
        <v>183</v>
      </c>
      <c r="J15" s="18">
        <v>2</v>
      </c>
    </row>
    <row r="16" spans="1:10">
      <c r="A16" s="30" t="s">
        <v>531</v>
      </c>
      <c r="B16" s="30">
        <v>12</v>
      </c>
      <c r="C16" s="31">
        <v>1</v>
      </c>
      <c r="D16" s="18" t="s">
        <v>813</v>
      </c>
      <c r="E16" s="18">
        <f t="shared" si="0"/>
        <v>2</v>
      </c>
      <c r="F16" s="38" t="s">
        <v>694</v>
      </c>
      <c r="G16" s="35">
        <v>12</v>
      </c>
      <c r="H16" s="39">
        <v>6</v>
      </c>
      <c r="I16" s="18" t="s">
        <v>1062</v>
      </c>
      <c r="J16" s="18">
        <v>2</v>
      </c>
    </row>
    <row r="17" spans="1:10">
      <c r="A17" s="30" t="s">
        <v>532</v>
      </c>
      <c r="B17" s="30">
        <v>13</v>
      </c>
      <c r="C17" s="31">
        <v>1.1000000000000001</v>
      </c>
      <c r="D17" s="18" t="s">
        <v>1058</v>
      </c>
      <c r="E17" s="18">
        <f t="shared" si="0"/>
        <v>4</v>
      </c>
      <c r="F17" s="38" t="s">
        <v>695</v>
      </c>
      <c r="G17" s="35">
        <v>13</v>
      </c>
      <c r="H17" s="39">
        <v>6.1</v>
      </c>
      <c r="I17" s="18" t="s">
        <v>184</v>
      </c>
      <c r="J17" s="18">
        <v>3</v>
      </c>
    </row>
    <row r="18" spans="1:10">
      <c r="A18" s="30" t="s">
        <v>534</v>
      </c>
      <c r="B18" s="30">
        <v>14</v>
      </c>
      <c r="C18" s="31" t="s">
        <v>533</v>
      </c>
      <c r="D18" s="18" t="s">
        <v>1054</v>
      </c>
      <c r="E18" s="18">
        <f t="shared" si="0"/>
        <v>6</v>
      </c>
      <c r="F18" s="38" t="s">
        <v>696</v>
      </c>
      <c r="G18" s="35">
        <v>14</v>
      </c>
      <c r="H18" s="39">
        <v>6.2</v>
      </c>
      <c r="I18" s="18" t="s">
        <v>188</v>
      </c>
      <c r="J18" s="18">
        <v>2</v>
      </c>
    </row>
    <row r="19" spans="1:10">
      <c r="A19" s="30" t="s">
        <v>1096</v>
      </c>
      <c r="B19" s="30">
        <v>15</v>
      </c>
      <c r="D19" s="18" t="s">
        <v>144</v>
      </c>
      <c r="E19" s="18">
        <f t="shared" si="0"/>
        <v>1</v>
      </c>
      <c r="F19" s="38" t="s">
        <v>697</v>
      </c>
      <c r="G19" s="35">
        <v>15</v>
      </c>
      <c r="H19" s="39">
        <v>7</v>
      </c>
      <c r="I19" s="18" t="s">
        <v>189</v>
      </c>
      <c r="J19" s="18">
        <v>2</v>
      </c>
    </row>
    <row r="20" spans="1:10">
      <c r="A20" s="30" t="s">
        <v>536</v>
      </c>
      <c r="B20" s="30">
        <v>16</v>
      </c>
      <c r="C20" s="31" t="s">
        <v>535</v>
      </c>
      <c r="D20" s="18" t="s">
        <v>145</v>
      </c>
      <c r="E20" s="18">
        <f t="shared" si="0"/>
        <v>8</v>
      </c>
      <c r="F20" s="38" t="s">
        <v>698</v>
      </c>
      <c r="G20" s="35">
        <v>16</v>
      </c>
      <c r="H20" s="39">
        <v>7.1</v>
      </c>
      <c r="I20" s="18" t="s">
        <v>663</v>
      </c>
      <c r="J20" s="18">
        <v>3</v>
      </c>
    </row>
    <row r="21" spans="1:10">
      <c r="A21" s="30" t="s">
        <v>538</v>
      </c>
      <c r="B21" s="30">
        <v>17</v>
      </c>
      <c r="C21" s="31" t="s">
        <v>537</v>
      </c>
      <c r="D21" s="18" t="s">
        <v>148</v>
      </c>
      <c r="E21" s="18">
        <f t="shared" si="0"/>
        <v>6</v>
      </c>
      <c r="F21" s="38" t="s">
        <v>699</v>
      </c>
      <c r="G21" s="35">
        <v>17</v>
      </c>
      <c r="H21" s="39">
        <v>7.2</v>
      </c>
      <c r="I21" s="18" t="s">
        <v>1066</v>
      </c>
      <c r="J21" s="18">
        <v>3</v>
      </c>
    </row>
    <row r="22" spans="1:10">
      <c r="A22" s="30" t="s">
        <v>540</v>
      </c>
      <c r="B22" s="30">
        <v>18</v>
      </c>
      <c r="C22" s="31" t="s">
        <v>539</v>
      </c>
      <c r="D22" s="18" t="s">
        <v>661</v>
      </c>
      <c r="E22" s="18">
        <f t="shared" si="0"/>
        <v>8</v>
      </c>
      <c r="F22" s="38" t="s">
        <v>700</v>
      </c>
      <c r="G22" s="35">
        <v>18</v>
      </c>
      <c r="H22" s="39">
        <v>7.3</v>
      </c>
      <c r="I22" s="18" t="s">
        <v>193</v>
      </c>
      <c r="J22" s="18">
        <v>2</v>
      </c>
    </row>
    <row r="23" spans="1:10">
      <c r="A23" s="30" t="s">
        <v>542</v>
      </c>
      <c r="B23" s="30">
        <v>19</v>
      </c>
      <c r="C23" s="31" t="s">
        <v>541</v>
      </c>
      <c r="D23" s="18" t="s">
        <v>1055</v>
      </c>
      <c r="E23" s="18">
        <f t="shared" si="0"/>
        <v>8</v>
      </c>
      <c r="F23" s="38" t="s">
        <v>701</v>
      </c>
      <c r="G23" s="35">
        <v>19</v>
      </c>
      <c r="H23" s="39">
        <v>7.4</v>
      </c>
      <c r="I23" s="18" t="s">
        <v>194</v>
      </c>
      <c r="J23" s="18">
        <v>2</v>
      </c>
    </row>
    <row r="24" spans="1:10">
      <c r="A24" s="30" t="s">
        <v>544</v>
      </c>
      <c r="B24" s="30">
        <v>20</v>
      </c>
      <c r="C24" s="31" t="s">
        <v>543</v>
      </c>
      <c r="D24" s="18" t="s">
        <v>1056</v>
      </c>
      <c r="E24" s="18">
        <f t="shared" si="0"/>
        <v>8</v>
      </c>
      <c r="F24" s="38" t="s">
        <v>702</v>
      </c>
      <c r="G24" s="35">
        <v>20</v>
      </c>
      <c r="H24" s="39">
        <v>8</v>
      </c>
      <c r="I24" s="18" t="s">
        <v>817</v>
      </c>
      <c r="J24" s="18">
        <v>2</v>
      </c>
    </row>
    <row r="25" spans="1:10">
      <c r="A25" s="30" t="s">
        <v>546</v>
      </c>
      <c r="B25" s="30">
        <v>21</v>
      </c>
      <c r="C25" s="31" t="s">
        <v>545</v>
      </c>
      <c r="D25" s="18" t="s">
        <v>664</v>
      </c>
      <c r="E25" s="18">
        <f t="shared" si="0"/>
        <v>8</v>
      </c>
      <c r="F25" s="38" t="s">
        <v>703</v>
      </c>
      <c r="G25" s="35">
        <v>21</v>
      </c>
      <c r="H25" s="39">
        <v>8.1</v>
      </c>
      <c r="I25" s="18" t="s">
        <v>195</v>
      </c>
      <c r="J25" s="18">
        <v>3</v>
      </c>
    </row>
    <row r="26" spans="1:10">
      <c r="A26" s="30" t="s">
        <v>548</v>
      </c>
      <c r="B26" s="30">
        <v>22</v>
      </c>
      <c r="C26" s="31" t="s">
        <v>547</v>
      </c>
      <c r="D26" s="18" t="s">
        <v>665</v>
      </c>
      <c r="E26" s="18">
        <f t="shared" si="0"/>
        <v>8</v>
      </c>
      <c r="F26" s="38" t="s">
        <v>704</v>
      </c>
      <c r="G26" s="35">
        <v>22</v>
      </c>
      <c r="H26" s="39">
        <v>8.1999999999999993</v>
      </c>
      <c r="I26" s="18" t="s">
        <v>199</v>
      </c>
      <c r="J26" s="18">
        <v>2</v>
      </c>
    </row>
    <row r="27" spans="1:10">
      <c r="A27" s="30" t="s">
        <v>550</v>
      </c>
      <c r="B27" s="30">
        <v>23</v>
      </c>
      <c r="C27" s="31" t="s">
        <v>549</v>
      </c>
      <c r="D27" s="18" t="s">
        <v>1057</v>
      </c>
      <c r="E27" s="18">
        <f t="shared" si="0"/>
        <v>8</v>
      </c>
      <c r="F27" s="38" t="s">
        <v>705</v>
      </c>
      <c r="G27" s="35">
        <v>23</v>
      </c>
      <c r="H27" s="39">
        <v>9</v>
      </c>
      <c r="I27" s="18" t="s">
        <v>1042</v>
      </c>
      <c r="J27" s="18">
        <v>2</v>
      </c>
    </row>
    <row r="28" spans="1:10">
      <c r="A28" s="30" t="s">
        <v>552</v>
      </c>
      <c r="B28" s="30">
        <v>24</v>
      </c>
      <c r="C28" s="31" t="s">
        <v>551</v>
      </c>
      <c r="D28" s="18" t="s">
        <v>149</v>
      </c>
      <c r="E28" s="18">
        <f t="shared" si="0"/>
        <v>6</v>
      </c>
      <c r="F28" s="38" t="s">
        <v>706</v>
      </c>
      <c r="G28" s="35">
        <v>24</v>
      </c>
      <c r="H28" s="39">
        <v>9.1</v>
      </c>
      <c r="I28" s="1" t="s">
        <v>1068</v>
      </c>
      <c r="J28" s="18">
        <v>3</v>
      </c>
    </row>
    <row r="29" spans="1:10">
      <c r="A29" s="30" t="s">
        <v>554</v>
      </c>
      <c r="B29" s="30">
        <v>25</v>
      </c>
      <c r="C29" s="31" t="s">
        <v>553</v>
      </c>
      <c r="E29" s="18">
        <f t="shared" si="0"/>
        <v>8</v>
      </c>
      <c r="F29" s="38" t="s">
        <v>707</v>
      </c>
      <c r="G29" s="35">
        <v>25</v>
      </c>
      <c r="H29" s="39">
        <v>9.1999999999999993</v>
      </c>
      <c r="I29" s="18" t="s">
        <v>1067</v>
      </c>
      <c r="J29" s="18">
        <v>3</v>
      </c>
    </row>
    <row r="30" spans="1:10">
      <c r="A30" s="30" t="s">
        <v>556</v>
      </c>
      <c r="B30" s="30">
        <v>26</v>
      </c>
      <c r="C30" s="31" t="s">
        <v>555</v>
      </c>
      <c r="E30" s="18">
        <f t="shared" si="0"/>
        <v>8</v>
      </c>
    </row>
    <row r="31" spans="1:10">
      <c r="A31" s="30" t="s">
        <v>550</v>
      </c>
      <c r="B31" s="30">
        <v>27</v>
      </c>
      <c r="C31" s="31" t="s">
        <v>557</v>
      </c>
      <c r="E31" s="18">
        <f t="shared" si="0"/>
        <v>8</v>
      </c>
    </row>
    <row r="32" spans="1:10">
      <c r="A32" s="30" t="s">
        <v>558</v>
      </c>
      <c r="B32" s="30">
        <v>28</v>
      </c>
      <c r="C32" s="31">
        <v>1.2</v>
      </c>
      <c r="D32" s="18" t="s">
        <v>146</v>
      </c>
      <c r="E32" s="18">
        <f t="shared" si="0"/>
        <v>4</v>
      </c>
    </row>
    <row r="33" spans="1:5">
      <c r="A33" s="30" t="s">
        <v>566</v>
      </c>
      <c r="B33" s="30">
        <v>29</v>
      </c>
      <c r="C33" s="31">
        <v>1</v>
      </c>
      <c r="D33" s="18" t="s">
        <v>150</v>
      </c>
      <c r="E33" s="18">
        <f t="shared" si="0"/>
        <v>2</v>
      </c>
    </row>
    <row r="34" spans="1:5">
      <c r="A34" s="33" t="s">
        <v>568</v>
      </c>
      <c r="B34" s="30">
        <v>30</v>
      </c>
      <c r="C34" s="32" t="s">
        <v>567</v>
      </c>
      <c r="D34" s="18" t="s">
        <v>675</v>
      </c>
      <c r="E34" s="18">
        <f t="shared" si="0"/>
        <v>8</v>
      </c>
    </row>
    <row r="35" spans="1:5">
      <c r="A35" s="33" t="s">
        <v>570</v>
      </c>
      <c r="B35" s="30">
        <v>31</v>
      </c>
      <c r="C35" s="32" t="s">
        <v>569</v>
      </c>
      <c r="D35" s="18" t="s">
        <v>674</v>
      </c>
      <c r="E35" s="18">
        <f t="shared" si="0"/>
        <v>7</v>
      </c>
    </row>
    <row r="36" spans="1:5">
      <c r="A36" s="33" t="s">
        <v>572</v>
      </c>
      <c r="B36" s="30">
        <v>32</v>
      </c>
      <c r="C36" s="32" t="s">
        <v>571</v>
      </c>
      <c r="D36" s="18" t="s">
        <v>154</v>
      </c>
      <c r="E36" s="18">
        <f t="shared" si="0"/>
        <v>18</v>
      </c>
    </row>
    <row r="37" spans="1:5">
      <c r="A37" s="33" t="s">
        <v>574</v>
      </c>
      <c r="B37" s="30">
        <v>33</v>
      </c>
      <c r="C37" s="32" t="s">
        <v>573</v>
      </c>
      <c r="D37" s="18" t="s">
        <v>157</v>
      </c>
      <c r="E37" s="18">
        <f t="shared" si="0"/>
        <v>7</v>
      </c>
    </row>
    <row r="38" spans="1:5">
      <c r="A38" s="33" t="s">
        <v>576</v>
      </c>
      <c r="B38" s="30">
        <v>34</v>
      </c>
      <c r="C38" s="32" t="s">
        <v>575</v>
      </c>
      <c r="D38" s="18" t="s">
        <v>666</v>
      </c>
      <c r="E38" s="18">
        <f t="shared" si="0"/>
        <v>7</v>
      </c>
    </row>
    <row r="39" spans="1:5">
      <c r="A39" s="33" t="s">
        <v>578</v>
      </c>
      <c r="B39" s="30">
        <v>35</v>
      </c>
      <c r="C39" s="32" t="s">
        <v>577</v>
      </c>
      <c r="D39" s="18" t="s">
        <v>159</v>
      </c>
      <c r="E39" s="18">
        <f t="shared" si="0"/>
        <v>6</v>
      </c>
    </row>
    <row r="40" spans="1:5">
      <c r="A40" s="33" t="s">
        <v>580</v>
      </c>
      <c r="B40" s="30">
        <v>36</v>
      </c>
      <c r="C40" s="32" t="s">
        <v>579</v>
      </c>
      <c r="D40" s="18" t="s">
        <v>1059</v>
      </c>
      <c r="E40" s="18">
        <f t="shared" si="0"/>
        <v>6</v>
      </c>
    </row>
    <row r="41" spans="1:5">
      <c r="A41" s="33" t="s">
        <v>582</v>
      </c>
      <c r="B41" s="30">
        <v>37</v>
      </c>
      <c r="C41" s="32" t="s">
        <v>581</v>
      </c>
      <c r="D41" s="18" t="s">
        <v>163</v>
      </c>
      <c r="E41" s="18">
        <f t="shared" si="0"/>
        <v>3</v>
      </c>
    </row>
    <row r="42" spans="1:5">
      <c r="A42" s="33" t="s">
        <v>584</v>
      </c>
      <c r="B42" s="30">
        <v>38</v>
      </c>
      <c r="C42" s="32" t="s">
        <v>583</v>
      </c>
      <c r="D42" s="18" t="s">
        <v>165</v>
      </c>
      <c r="E42" s="18">
        <f t="shared" si="0"/>
        <v>3</v>
      </c>
    </row>
    <row r="43" spans="1:5">
      <c r="A43" s="33" t="s">
        <v>586</v>
      </c>
      <c r="B43" s="30">
        <v>39</v>
      </c>
      <c r="C43" s="32" t="s">
        <v>585</v>
      </c>
      <c r="D43" s="18" t="s">
        <v>167</v>
      </c>
      <c r="E43" s="18">
        <f t="shared" si="0"/>
        <v>18</v>
      </c>
    </row>
    <row r="44" spans="1:5">
      <c r="A44" s="33" t="s">
        <v>588</v>
      </c>
      <c r="B44" s="30">
        <v>40</v>
      </c>
      <c r="C44" s="32" t="s">
        <v>587</v>
      </c>
      <c r="D44" s="18" t="s">
        <v>1060</v>
      </c>
      <c r="E44" s="18">
        <f t="shared" si="0"/>
        <v>9</v>
      </c>
    </row>
    <row r="45" spans="1:5">
      <c r="A45" s="33" t="s">
        <v>590</v>
      </c>
      <c r="B45" s="30">
        <v>41</v>
      </c>
      <c r="C45" s="32" t="s">
        <v>589</v>
      </c>
      <c r="D45" s="18" t="s">
        <v>172</v>
      </c>
      <c r="E45" s="18">
        <f t="shared" si="0"/>
        <v>6</v>
      </c>
    </row>
    <row r="46" spans="1:5">
      <c r="A46" s="33" t="s">
        <v>592</v>
      </c>
      <c r="B46" s="30">
        <v>42</v>
      </c>
      <c r="C46" s="32" t="s">
        <v>591</v>
      </c>
      <c r="D46" s="18" t="s">
        <v>1061</v>
      </c>
      <c r="E46" s="18">
        <f t="shared" si="0"/>
        <v>7</v>
      </c>
    </row>
    <row r="47" spans="1:5">
      <c r="A47" s="33" t="s">
        <v>594</v>
      </c>
      <c r="B47" s="30">
        <v>43</v>
      </c>
      <c r="C47" s="32" t="s">
        <v>593</v>
      </c>
      <c r="D47" s="18" t="s">
        <v>175</v>
      </c>
      <c r="E47" s="18">
        <f t="shared" si="0"/>
        <v>6</v>
      </c>
    </row>
    <row r="48" spans="1:5">
      <c r="A48" s="33" t="s">
        <v>611</v>
      </c>
      <c r="B48" s="30">
        <v>44</v>
      </c>
      <c r="C48" s="32" t="s">
        <v>595</v>
      </c>
      <c r="D48" s="18" t="s">
        <v>180</v>
      </c>
      <c r="E48" s="18">
        <f t="shared" si="0"/>
        <v>2</v>
      </c>
    </row>
    <row r="49" spans="1:5">
      <c r="A49" s="33" t="s">
        <v>612</v>
      </c>
      <c r="B49" s="30">
        <v>45</v>
      </c>
      <c r="C49" s="32" t="s">
        <v>597</v>
      </c>
      <c r="D49" s="18" t="s">
        <v>670</v>
      </c>
      <c r="E49" s="18">
        <f t="shared" si="0"/>
        <v>4</v>
      </c>
    </row>
    <row r="50" spans="1:5">
      <c r="A50" s="33" t="s">
        <v>613</v>
      </c>
      <c r="B50" s="30">
        <v>46</v>
      </c>
      <c r="C50" s="32" t="s">
        <v>599</v>
      </c>
      <c r="D50" s="18" t="s">
        <v>668</v>
      </c>
      <c r="E50" s="18">
        <f t="shared" si="0"/>
        <v>4</v>
      </c>
    </row>
    <row r="51" spans="1:5">
      <c r="A51" s="33" t="s">
        <v>614</v>
      </c>
      <c r="B51" s="30">
        <v>47</v>
      </c>
      <c r="C51" s="32" t="s">
        <v>601</v>
      </c>
      <c r="D51" s="18" t="s">
        <v>669</v>
      </c>
      <c r="E51" s="18">
        <f t="shared" si="0"/>
        <v>4</v>
      </c>
    </row>
    <row r="52" spans="1:5">
      <c r="A52" s="30" t="s">
        <v>563</v>
      </c>
      <c r="B52" s="30">
        <v>48</v>
      </c>
      <c r="C52" s="31">
        <v>1</v>
      </c>
      <c r="D52" s="18" t="s">
        <v>183</v>
      </c>
      <c r="E52" s="18">
        <f t="shared" si="0"/>
        <v>2</v>
      </c>
    </row>
    <row r="53" spans="1:5">
      <c r="A53" s="30" t="s">
        <v>564</v>
      </c>
      <c r="B53" s="30">
        <v>49</v>
      </c>
      <c r="C53" s="31">
        <v>1.1000000000000001</v>
      </c>
      <c r="E53" s="18">
        <f t="shared" si="0"/>
        <v>4</v>
      </c>
    </row>
    <row r="54" spans="1:5">
      <c r="A54" s="30" t="s">
        <v>565</v>
      </c>
      <c r="B54" s="30">
        <v>50</v>
      </c>
      <c r="C54" s="31">
        <v>1.2</v>
      </c>
      <c r="E54" s="18">
        <f t="shared" si="0"/>
        <v>4</v>
      </c>
    </row>
    <row r="55" spans="1:5">
      <c r="A55" s="33" t="s">
        <v>615</v>
      </c>
      <c r="B55" s="30">
        <v>51</v>
      </c>
      <c r="C55" s="32" t="s">
        <v>595</v>
      </c>
      <c r="D55" s="18" t="s">
        <v>1062</v>
      </c>
      <c r="E55" s="18">
        <f t="shared" si="0"/>
        <v>2</v>
      </c>
    </row>
    <row r="56" spans="1:5">
      <c r="A56" s="33" t="s">
        <v>616</v>
      </c>
      <c r="B56" s="30">
        <v>52</v>
      </c>
      <c r="C56" s="32" t="s">
        <v>597</v>
      </c>
      <c r="D56" s="18" t="s">
        <v>184</v>
      </c>
      <c r="E56" s="18">
        <f t="shared" si="0"/>
        <v>4</v>
      </c>
    </row>
    <row r="57" spans="1:5">
      <c r="A57" s="33" t="s">
        <v>617</v>
      </c>
      <c r="B57" s="30">
        <v>53</v>
      </c>
      <c r="C57" s="32" t="s">
        <v>599</v>
      </c>
      <c r="D57" s="18" t="s">
        <v>188</v>
      </c>
      <c r="E57" s="18">
        <f t="shared" si="0"/>
        <v>4</v>
      </c>
    </row>
    <row r="58" spans="1:5">
      <c r="A58" s="30" t="s">
        <v>559</v>
      </c>
      <c r="B58" s="30">
        <v>54</v>
      </c>
      <c r="C58" s="31">
        <v>1</v>
      </c>
      <c r="D58" s="18" t="s">
        <v>663</v>
      </c>
      <c r="E58" s="18">
        <f t="shared" si="0"/>
        <v>2</v>
      </c>
    </row>
    <row r="59" spans="1:5">
      <c r="A59" s="30" t="s">
        <v>560</v>
      </c>
      <c r="B59" s="30">
        <v>55</v>
      </c>
      <c r="C59" s="31">
        <v>1.1000000000000001</v>
      </c>
      <c r="E59" s="18">
        <f t="shared" si="0"/>
        <v>4</v>
      </c>
    </row>
    <row r="60" spans="1:5">
      <c r="A60" s="30" t="s">
        <v>561</v>
      </c>
      <c r="B60" s="30">
        <v>56</v>
      </c>
      <c r="C60" s="31">
        <v>1.2</v>
      </c>
      <c r="E60" s="18">
        <f t="shared" si="0"/>
        <v>4</v>
      </c>
    </row>
    <row r="61" spans="1:5">
      <c r="A61" s="30" t="s">
        <v>562</v>
      </c>
      <c r="B61" s="30">
        <v>57</v>
      </c>
      <c r="C61" s="31">
        <v>1.3</v>
      </c>
      <c r="E61" s="18">
        <f t="shared" si="0"/>
        <v>4</v>
      </c>
    </row>
    <row r="62" spans="1:5">
      <c r="A62" s="33" t="s">
        <v>618</v>
      </c>
      <c r="B62" s="30">
        <v>58</v>
      </c>
      <c r="C62" s="32" t="s">
        <v>595</v>
      </c>
      <c r="D62" s="18" t="s">
        <v>672</v>
      </c>
      <c r="E62" s="18">
        <f t="shared" si="0"/>
        <v>2</v>
      </c>
    </row>
    <row r="63" spans="1:5">
      <c r="A63" s="33" t="s">
        <v>619</v>
      </c>
      <c r="B63" s="30">
        <v>59</v>
      </c>
      <c r="C63" s="32" t="s">
        <v>597</v>
      </c>
      <c r="D63" s="18" t="s">
        <v>1063</v>
      </c>
      <c r="E63" s="18">
        <f t="shared" si="0"/>
        <v>4</v>
      </c>
    </row>
    <row r="64" spans="1:5">
      <c r="A64" s="33" t="s">
        <v>620</v>
      </c>
      <c r="B64" s="30">
        <v>60</v>
      </c>
      <c r="C64" s="32" t="s">
        <v>599</v>
      </c>
      <c r="D64" s="18" t="s">
        <v>191</v>
      </c>
      <c r="E64" s="18">
        <f t="shared" si="0"/>
        <v>4</v>
      </c>
    </row>
    <row r="65" spans="1:5">
      <c r="A65" s="33" t="s">
        <v>621</v>
      </c>
      <c r="B65" s="30">
        <v>61</v>
      </c>
      <c r="C65" s="32" t="s">
        <v>601</v>
      </c>
      <c r="D65" s="18" t="s">
        <v>192</v>
      </c>
      <c r="E65" s="18">
        <f t="shared" si="0"/>
        <v>4</v>
      </c>
    </row>
    <row r="66" spans="1:5">
      <c r="A66" s="33" t="s">
        <v>1101</v>
      </c>
      <c r="B66" s="30">
        <v>62</v>
      </c>
      <c r="C66" s="32" t="s">
        <v>603</v>
      </c>
      <c r="D66" s="18" t="s">
        <v>193</v>
      </c>
      <c r="E66" s="18">
        <f t="shared" si="0"/>
        <v>4</v>
      </c>
    </row>
    <row r="67" spans="1:5">
      <c r="A67" s="33" t="s">
        <v>622</v>
      </c>
      <c r="B67" s="30">
        <v>63</v>
      </c>
      <c r="C67" s="32" t="s">
        <v>595</v>
      </c>
      <c r="D67" s="18" t="s">
        <v>194</v>
      </c>
      <c r="E67" s="18">
        <f t="shared" si="0"/>
        <v>2</v>
      </c>
    </row>
    <row r="68" spans="1:5">
      <c r="A68" s="33" t="s">
        <v>623</v>
      </c>
      <c r="B68" s="30">
        <v>64</v>
      </c>
      <c r="C68" s="32" t="s">
        <v>597</v>
      </c>
      <c r="E68" s="18">
        <f t="shared" si="0"/>
        <v>4</v>
      </c>
    </row>
    <row r="69" spans="1:5">
      <c r="A69" s="33" t="s">
        <v>624</v>
      </c>
      <c r="B69" s="30">
        <v>65</v>
      </c>
      <c r="C69" s="32" t="s">
        <v>603</v>
      </c>
      <c r="E69" s="18">
        <f t="shared" si="0"/>
        <v>4</v>
      </c>
    </row>
    <row r="70" spans="1:5">
      <c r="A70" s="33" t="s">
        <v>626</v>
      </c>
      <c r="B70" s="30">
        <v>66</v>
      </c>
      <c r="C70" s="32" t="s">
        <v>625</v>
      </c>
      <c r="E70" s="18">
        <f t="shared" ref="E70:E100" si="1">LEN(C70)+1</f>
        <v>4</v>
      </c>
    </row>
    <row r="71" spans="1:5">
      <c r="A71" s="33" t="s">
        <v>628</v>
      </c>
      <c r="B71" s="30">
        <v>67</v>
      </c>
      <c r="C71" s="32" t="s">
        <v>627</v>
      </c>
      <c r="E71" s="18">
        <f t="shared" si="1"/>
        <v>4</v>
      </c>
    </row>
    <row r="72" spans="1:5">
      <c r="A72" s="33" t="s">
        <v>629</v>
      </c>
      <c r="B72" s="30">
        <v>68</v>
      </c>
      <c r="C72" s="32" t="s">
        <v>595</v>
      </c>
      <c r="D72" s="18" t="s">
        <v>195</v>
      </c>
      <c r="E72" s="18">
        <f t="shared" si="1"/>
        <v>2</v>
      </c>
    </row>
    <row r="73" spans="1:5">
      <c r="A73" s="33" t="s">
        <v>630</v>
      </c>
      <c r="B73" s="30">
        <v>69</v>
      </c>
      <c r="C73" s="32" t="s">
        <v>597</v>
      </c>
      <c r="D73" s="18" t="s">
        <v>673</v>
      </c>
      <c r="E73" s="18">
        <f t="shared" si="1"/>
        <v>4</v>
      </c>
    </row>
    <row r="74" spans="1:5">
      <c r="A74" s="33" t="s">
        <v>631</v>
      </c>
      <c r="B74" s="30">
        <v>70</v>
      </c>
      <c r="C74" s="32" t="s">
        <v>533</v>
      </c>
      <c r="E74" s="18">
        <f t="shared" si="1"/>
        <v>6</v>
      </c>
    </row>
    <row r="75" spans="1:5">
      <c r="A75" s="33" t="s">
        <v>632</v>
      </c>
      <c r="B75" s="30">
        <v>71</v>
      </c>
      <c r="C75" s="32" t="s">
        <v>537</v>
      </c>
      <c r="E75" s="18">
        <f t="shared" si="1"/>
        <v>6</v>
      </c>
    </row>
    <row r="76" spans="1:5">
      <c r="A76" s="33" t="s">
        <v>633</v>
      </c>
      <c r="B76" s="30">
        <v>72</v>
      </c>
      <c r="C76" s="32" t="s">
        <v>551</v>
      </c>
      <c r="E76" s="18">
        <f t="shared" si="1"/>
        <v>6</v>
      </c>
    </row>
    <row r="77" spans="1:5">
      <c r="A77" s="33" t="s">
        <v>635</v>
      </c>
      <c r="B77" s="30">
        <v>73</v>
      </c>
      <c r="C77" s="32" t="s">
        <v>634</v>
      </c>
      <c r="E77" s="18">
        <f t="shared" si="1"/>
        <v>6</v>
      </c>
    </row>
    <row r="78" spans="1:5">
      <c r="A78" s="33" t="s">
        <v>637</v>
      </c>
      <c r="B78" s="30">
        <v>74</v>
      </c>
      <c r="C78" s="32" t="s">
        <v>636</v>
      </c>
      <c r="E78" s="18">
        <f t="shared" si="1"/>
        <v>6</v>
      </c>
    </row>
    <row r="79" spans="1:5">
      <c r="A79" s="33" t="s">
        <v>639</v>
      </c>
      <c r="B79" s="30">
        <v>75</v>
      </c>
      <c r="C79" s="32" t="s">
        <v>638</v>
      </c>
      <c r="E79" s="18">
        <f t="shared" si="1"/>
        <v>6</v>
      </c>
    </row>
    <row r="80" spans="1:5">
      <c r="A80" s="33" t="s">
        <v>640</v>
      </c>
      <c r="B80" s="30">
        <v>76</v>
      </c>
      <c r="C80" s="32" t="s">
        <v>599</v>
      </c>
      <c r="D80" s="18" t="s">
        <v>197</v>
      </c>
      <c r="E80" s="18">
        <f t="shared" si="1"/>
        <v>4</v>
      </c>
    </row>
    <row r="81" spans="1:5">
      <c r="A81" s="33" t="s">
        <v>642</v>
      </c>
      <c r="B81" s="30">
        <v>77</v>
      </c>
      <c r="C81" s="32" t="s">
        <v>641</v>
      </c>
      <c r="E81" s="18">
        <f t="shared" si="1"/>
        <v>6</v>
      </c>
    </row>
    <row r="82" spans="1:5">
      <c r="A82" s="33" t="s">
        <v>644</v>
      </c>
      <c r="B82" s="30">
        <v>78</v>
      </c>
      <c r="C82" s="32" t="s">
        <v>643</v>
      </c>
      <c r="E82" s="18">
        <f t="shared" si="1"/>
        <v>6</v>
      </c>
    </row>
    <row r="83" spans="1:5">
      <c r="A83" s="33" t="s">
        <v>646</v>
      </c>
      <c r="B83" s="30">
        <v>79</v>
      </c>
      <c r="C83" s="32" t="s">
        <v>645</v>
      </c>
      <c r="E83" s="18">
        <f t="shared" si="1"/>
        <v>6</v>
      </c>
    </row>
    <row r="84" spans="1:5" ht="45">
      <c r="A84" s="34" t="s">
        <v>647</v>
      </c>
      <c r="B84" s="30">
        <v>80</v>
      </c>
      <c r="C84" s="32" t="s">
        <v>606</v>
      </c>
      <c r="D84" s="18" t="s">
        <v>1064</v>
      </c>
      <c r="E84" s="18">
        <f t="shared" si="1"/>
        <v>2</v>
      </c>
    </row>
    <row r="85" spans="1:5">
      <c r="A85" s="33" t="s">
        <v>649</v>
      </c>
      <c r="B85" s="30">
        <v>81</v>
      </c>
      <c r="C85" s="32" t="s">
        <v>648</v>
      </c>
      <c r="E85" s="18">
        <f t="shared" si="1"/>
        <v>4</v>
      </c>
    </row>
    <row r="86" spans="1:5">
      <c r="A86" s="33" t="s">
        <v>651</v>
      </c>
      <c r="B86" s="30">
        <v>82</v>
      </c>
      <c r="C86" s="32" t="s">
        <v>650</v>
      </c>
      <c r="E86" s="18">
        <f t="shared" si="1"/>
        <v>6</v>
      </c>
    </row>
    <row r="87" spans="1:5">
      <c r="A87" s="33" t="s">
        <v>653</v>
      </c>
      <c r="B87" s="30">
        <v>83</v>
      </c>
      <c r="C87" s="32" t="s">
        <v>652</v>
      </c>
      <c r="E87" s="18">
        <f t="shared" si="1"/>
        <v>6</v>
      </c>
    </row>
    <row r="88" spans="1:5">
      <c r="A88" s="33" t="s">
        <v>655</v>
      </c>
      <c r="B88" s="30">
        <v>84</v>
      </c>
      <c r="C88" s="32" t="s">
        <v>654</v>
      </c>
      <c r="E88" s="18">
        <f t="shared" si="1"/>
        <v>4</v>
      </c>
    </row>
    <row r="89" spans="1:5">
      <c r="A89" s="33" t="s">
        <v>657</v>
      </c>
      <c r="B89" s="30">
        <v>85</v>
      </c>
      <c r="C89" s="32" t="s">
        <v>656</v>
      </c>
      <c r="E89" s="18">
        <f t="shared" si="1"/>
        <v>4</v>
      </c>
    </row>
    <row r="90" spans="1:5">
      <c r="A90" s="33" t="s">
        <v>659</v>
      </c>
      <c r="B90" s="30">
        <v>86</v>
      </c>
      <c r="C90" s="32" t="s">
        <v>658</v>
      </c>
      <c r="E90" s="18">
        <f t="shared" si="1"/>
        <v>4</v>
      </c>
    </row>
    <row r="91" spans="1:5">
      <c r="A91" s="30" t="s">
        <v>596</v>
      </c>
      <c r="B91" s="30">
        <v>87</v>
      </c>
      <c r="C91" s="32" t="s">
        <v>595</v>
      </c>
      <c r="D91" s="18" t="s">
        <v>1097</v>
      </c>
      <c r="E91" s="18">
        <f t="shared" si="1"/>
        <v>2</v>
      </c>
    </row>
    <row r="92" spans="1:5">
      <c r="A92" s="33" t="s">
        <v>598</v>
      </c>
      <c r="B92" s="30">
        <v>88</v>
      </c>
      <c r="C92" s="32" t="s">
        <v>597</v>
      </c>
      <c r="D92" s="18" t="s">
        <v>205</v>
      </c>
      <c r="E92" s="18">
        <f t="shared" si="1"/>
        <v>4</v>
      </c>
    </row>
    <row r="93" spans="1:5">
      <c r="A93" s="33" t="s">
        <v>600</v>
      </c>
      <c r="B93" s="30">
        <v>89</v>
      </c>
      <c r="C93" s="32" t="s">
        <v>599</v>
      </c>
      <c r="D93" s="18" t="s">
        <v>203</v>
      </c>
      <c r="E93" s="18">
        <f t="shared" si="1"/>
        <v>4</v>
      </c>
    </row>
    <row r="94" spans="1:5">
      <c r="A94" s="33" t="s">
        <v>602</v>
      </c>
      <c r="B94" s="30">
        <v>90</v>
      </c>
      <c r="C94" s="32" t="s">
        <v>601</v>
      </c>
      <c r="D94" s="18" t="s">
        <v>206</v>
      </c>
      <c r="E94" s="18">
        <f t="shared" si="1"/>
        <v>4</v>
      </c>
    </row>
    <row r="95" spans="1:5">
      <c r="A95" s="33" t="s">
        <v>604</v>
      </c>
      <c r="B95" s="30">
        <v>91</v>
      </c>
      <c r="C95" s="32" t="s">
        <v>603</v>
      </c>
      <c r="D95" s="18" t="s">
        <v>209</v>
      </c>
      <c r="E95" s="18">
        <f t="shared" si="1"/>
        <v>4</v>
      </c>
    </row>
    <row r="96" spans="1:5">
      <c r="A96" s="33" t="s">
        <v>605</v>
      </c>
      <c r="B96" s="30">
        <v>92</v>
      </c>
      <c r="C96" s="66">
        <v>1</v>
      </c>
      <c r="E96" s="18">
        <f t="shared" si="1"/>
        <v>2</v>
      </c>
    </row>
    <row r="97" spans="1:5">
      <c r="A97" s="33" t="s">
        <v>1102</v>
      </c>
      <c r="B97" s="30">
        <v>93</v>
      </c>
      <c r="C97" s="66" t="s">
        <v>1103</v>
      </c>
      <c r="D97" s="18" t="s">
        <v>210</v>
      </c>
      <c r="E97" s="18">
        <f t="shared" si="1"/>
        <v>4</v>
      </c>
    </row>
    <row r="98" spans="1:5">
      <c r="A98" s="33" t="s">
        <v>1104</v>
      </c>
      <c r="B98" s="30">
        <v>94</v>
      </c>
      <c r="C98" s="66"/>
      <c r="D98" s="65" t="s">
        <v>1065</v>
      </c>
      <c r="E98" s="18">
        <f t="shared" si="1"/>
        <v>1</v>
      </c>
    </row>
    <row r="99" spans="1:5">
      <c r="A99" s="33" t="s">
        <v>608</v>
      </c>
      <c r="B99" s="30">
        <v>95</v>
      </c>
      <c r="C99" s="32" t="s">
        <v>607</v>
      </c>
      <c r="D99" s="18" t="s">
        <v>208</v>
      </c>
      <c r="E99" s="18">
        <f t="shared" si="1"/>
        <v>2</v>
      </c>
    </row>
    <row r="100" spans="1:5">
      <c r="A100" s="33" t="s">
        <v>610</v>
      </c>
      <c r="B100" s="30">
        <v>96</v>
      </c>
      <c r="C100" s="32" t="s">
        <v>609</v>
      </c>
      <c r="D100" s="18" t="s">
        <v>368</v>
      </c>
      <c r="E100" s="18">
        <f t="shared" si="1"/>
        <v>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14"/>
  <sheetViews>
    <sheetView topLeftCell="B5" workbookViewId="0">
      <selection activeCell="E5" sqref="E5"/>
    </sheetView>
  </sheetViews>
  <sheetFormatPr defaultRowHeight="15"/>
  <cols>
    <col min="1" max="1" width="26.7109375" hidden="1" customWidth="1"/>
    <col min="2" max="2" width="26.7109375" customWidth="1"/>
    <col min="3" max="3" width="0" hidden="1" customWidth="1"/>
    <col min="4" max="4" width="42.85546875" style="8" customWidth="1"/>
  </cols>
  <sheetData>
    <row r="1" spans="1:5">
      <c r="A1" s="3"/>
      <c r="B1" s="3"/>
    </row>
    <row r="2" spans="1:5">
      <c r="A2" s="3"/>
      <c r="B2" s="3"/>
    </row>
    <row r="3" spans="1:5">
      <c r="A3" s="3"/>
      <c r="B3" s="3"/>
    </row>
    <row r="4" spans="1:5">
      <c r="A4" s="3" t="s">
        <v>305</v>
      </c>
      <c r="B4" s="3" t="s">
        <v>305</v>
      </c>
      <c r="D4" s="2" t="s">
        <v>309</v>
      </c>
    </row>
    <row r="5" spans="1:5">
      <c r="A5" s="4" t="s">
        <v>31</v>
      </c>
      <c r="B5" s="4" t="s">
        <v>214</v>
      </c>
      <c r="D5" s="1" t="s">
        <v>138</v>
      </c>
      <c r="E5">
        <f>FIND("C",A5)</f>
        <v>1</v>
      </c>
    </row>
    <row r="6" spans="1:5" ht="31.5">
      <c r="A6" s="4" t="s">
        <v>32</v>
      </c>
      <c r="B6" s="4" t="s">
        <v>215</v>
      </c>
      <c r="D6" s="1" t="s">
        <v>660</v>
      </c>
      <c r="E6">
        <f t="shared" ref="E6:E69" si="0">FIND("C",A6)</f>
        <v>3</v>
      </c>
    </row>
    <row r="7" spans="1:5" ht="21">
      <c r="A7" s="4" t="s">
        <v>33</v>
      </c>
      <c r="B7" s="4" t="s">
        <v>216</v>
      </c>
      <c r="D7" s="1" t="s">
        <v>139</v>
      </c>
      <c r="E7">
        <f t="shared" si="0"/>
        <v>5</v>
      </c>
    </row>
    <row r="8" spans="1:5" ht="21">
      <c r="A8" s="4" t="s">
        <v>34</v>
      </c>
      <c r="B8" s="4" t="s">
        <v>257</v>
      </c>
      <c r="D8" s="1" t="s">
        <v>140</v>
      </c>
      <c r="E8">
        <f t="shared" si="0"/>
        <v>7</v>
      </c>
    </row>
    <row r="9" spans="1:5" ht="21">
      <c r="A9" s="4" t="s">
        <v>35</v>
      </c>
      <c r="B9" s="4" t="s">
        <v>258</v>
      </c>
      <c r="D9" s="1" t="s">
        <v>141</v>
      </c>
      <c r="E9">
        <f t="shared" si="0"/>
        <v>7</v>
      </c>
    </row>
    <row r="10" spans="1:5" ht="31.5">
      <c r="A10" s="4" t="s">
        <v>36</v>
      </c>
      <c r="B10" s="4" t="s">
        <v>259</v>
      </c>
      <c r="D10" s="1" t="s">
        <v>142</v>
      </c>
      <c r="E10">
        <f t="shared" si="0"/>
        <v>5</v>
      </c>
    </row>
    <row r="11" spans="1:5" ht="21">
      <c r="A11" s="4" t="s">
        <v>37</v>
      </c>
      <c r="B11" s="4" t="s">
        <v>217</v>
      </c>
      <c r="D11" s="1" t="s">
        <v>813</v>
      </c>
      <c r="E11">
        <f t="shared" si="0"/>
        <v>3</v>
      </c>
    </row>
    <row r="12" spans="1:5" ht="31.5">
      <c r="A12" s="4" t="s">
        <v>38</v>
      </c>
      <c r="B12" s="4" t="s">
        <v>218</v>
      </c>
      <c r="D12" s="1" t="s">
        <v>143</v>
      </c>
      <c r="E12">
        <f t="shared" si="0"/>
        <v>5</v>
      </c>
    </row>
    <row r="13" spans="1:5" ht="21">
      <c r="A13" s="4" t="s">
        <v>39</v>
      </c>
      <c r="B13" s="4" t="s">
        <v>260</v>
      </c>
      <c r="D13" s="1" t="s">
        <v>144</v>
      </c>
      <c r="E13">
        <f t="shared" si="0"/>
        <v>7</v>
      </c>
    </row>
    <row r="14" spans="1:5" ht="31.5">
      <c r="A14" s="4" t="s">
        <v>40</v>
      </c>
      <c r="B14" s="4" t="s">
        <v>261</v>
      </c>
      <c r="D14" s="1" t="s">
        <v>145</v>
      </c>
      <c r="E14">
        <f t="shared" si="0"/>
        <v>7</v>
      </c>
    </row>
    <row r="15" spans="1:5" ht="21">
      <c r="A15" s="4" t="s">
        <v>41</v>
      </c>
      <c r="B15" s="4" t="s">
        <v>262</v>
      </c>
      <c r="D15" s="1" t="s">
        <v>146</v>
      </c>
      <c r="E15">
        <f t="shared" si="0"/>
        <v>7</v>
      </c>
    </row>
    <row r="16" spans="1:5" ht="31.5">
      <c r="A16" s="4" t="s">
        <v>42</v>
      </c>
      <c r="B16" s="4" t="s">
        <v>219</v>
      </c>
      <c r="D16" s="1" t="s">
        <v>147</v>
      </c>
      <c r="E16">
        <f t="shared" si="0"/>
        <v>5</v>
      </c>
    </row>
    <row r="17" spans="1:5">
      <c r="A17" s="4" t="s">
        <v>43</v>
      </c>
      <c r="B17" s="4" t="s">
        <v>263</v>
      </c>
      <c r="D17" s="1" t="s">
        <v>148</v>
      </c>
      <c r="E17">
        <f t="shared" si="0"/>
        <v>7</v>
      </c>
    </row>
    <row r="18" spans="1:5" ht="21">
      <c r="A18" s="4" t="s">
        <v>44</v>
      </c>
      <c r="B18" s="4" t="s">
        <v>264</v>
      </c>
      <c r="D18" s="1" t="s">
        <v>149</v>
      </c>
      <c r="E18">
        <f t="shared" si="0"/>
        <v>7</v>
      </c>
    </row>
    <row r="19" spans="1:5">
      <c r="A19" s="4" t="s">
        <v>45</v>
      </c>
      <c r="B19" s="4" t="s">
        <v>220</v>
      </c>
      <c r="D19" s="1" t="s">
        <v>150</v>
      </c>
      <c r="E19">
        <f t="shared" si="0"/>
        <v>3</v>
      </c>
    </row>
    <row r="20" spans="1:5" ht="21">
      <c r="A20" s="4" t="s">
        <v>46</v>
      </c>
      <c r="B20" s="4" t="s">
        <v>221</v>
      </c>
      <c r="D20" s="1" t="s">
        <v>151</v>
      </c>
      <c r="E20">
        <f t="shared" si="0"/>
        <v>5</v>
      </c>
    </row>
    <row r="21" spans="1:5" ht="21">
      <c r="A21" s="4" t="s">
        <v>47</v>
      </c>
      <c r="B21" s="4" t="s">
        <v>265</v>
      </c>
      <c r="D21" s="1" t="s">
        <v>152</v>
      </c>
      <c r="E21">
        <f t="shared" si="0"/>
        <v>7</v>
      </c>
    </row>
    <row r="22" spans="1:5">
      <c r="A22" s="4" t="s">
        <v>48</v>
      </c>
      <c r="B22" s="4" t="s">
        <v>14</v>
      </c>
      <c r="D22" s="1" t="s">
        <v>153</v>
      </c>
      <c r="E22">
        <f t="shared" si="0"/>
        <v>7</v>
      </c>
    </row>
    <row r="23" spans="1:5" ht="21">
      <c r="A23" s="4" t="s">
        <v>49</v>
      </c>
      <c r="B23" s="4" t="s">
        <v>222</v>
      </c>
      <c r="D23" s="1" t="s">
        <v>814</v>
      </c>
      <c r="E23">
        <f t="shared" si="0"/>
        <v>5</v>
      </c>
    </row>
    <row r="24" spans="1:5" ht="21">
      <c r="A24" s="4" t="s">
        <v>50</v>
      </c>
      <c r="B24" s="4" t="s">
        <v>223</v>
      </c>
      <c r="D24" s="1" t="s">
        <v>154</v>
      </c>
      <c r="E24">
        <f t="shared" si="0"/>
        <v>7</v>
      </c>
    </row>
    <row r="25" spans="1:5">
      <c r="A25" s="4" t="s">
        <v>51</v>
      </c>
      <c r="B25" s="4" t="s">
        <v>15</v>
      </c>
      <c r="D25" s="1" t="s">
        <v>155</v>
      </c>
      <c r="E25">
        <f t="shared" si="0"/>
        <v>9</v>
      </c>
    </row>
    <row r="26" spans="1:5" ht="21">
      <c r="A26" s="4" t="s">
        <v>52</v>
      </c>
      <c r="B26" s="4" t="s">
        <v>16</v>
      </c>
      <c r="D26" s="1" t="s">
        <v>156</v>
      </c>
      <c r="E26">
        <f t="shared" si="0"/>
        <v>9</v>
      </c>
    </row>
    <row r="27" spans="1:5" ht="21">
      <c r="A27" s="4" t="s">
        <v>53</v>
      </c>
      <c r="B27" s="4" t="s">
        <v>17</v>
      </c>
      <c r="D27" s="1" t="s">
        <v>157</v>
      </c>
      <c r="E27">
        <f t="shared" si="0"/>
        <v>7</v>
      </c>
    </row>
    <row r="28" spans="1:5" ht="21">
      <c r="A28" s="4" t="s">
        <v>54</v>
      </c>
      <c r="B28" s="4" t="s">
        <v>18</v>
      </c>
      <c r="D28" s="1" t="s">
        <v>158</v>
      </c>
      <c r="E28">
        <f t="shared" si="0"/>
        <v>5</v>
      </c>
    </row>
    <row r="29" spans="1:5" ht="31.5">
      <c r="A29" s="4" t="s">
        <v>55</v>
      </c>
      <c r="B29" s="4" t="s">
        <v>224</v>
      </c>
      <c r="D29" s="1" t="s">
        <v>159</v>
      </c>
      <c r="E29">
        <f t="shared" si="0"/>
        <v>5</v>
      </c>
    </row>
    <row r="30" spans="1:5" ht="21">
      <c r="A30" s="4" t="s">
        <v>56</v>
      </c>
      <c r="B30" s="4" t="s">
        <v>19</v>
      </c>
      <c r="D30" s="1" t="s">
        <v>160</v>
      </c>
      <c r="E30">
        <f t="shared" si="0"/>
        <v>7</v>
      </c>
    </row>
    <row r="31" spans="1:5" ht="21">
      <c r="A31" s="4" t="s">
        <v>57</v>
      </c>
      <c r="B31" s="4" t="s">
        <v>20</v>
      </c>
      <c r="D31" s="1" t="s">
        <v>161</v>
      </c>
      <c r="E31">
        <f t="shared" si="0"/>
        <v>7</v>
      </c>
    </row>
    <row r="32" spans="1:5" ht="21">
      <c r="A32" s="4" t="s">
        <v>58</v>
      </c>
      <c r="B32" s="4" t="s">
        <v>225</v>
      </c>
      <c r="D32" s="1" t="s">
        <v>815</v>
      </c>
      <c r="E32">
        <f t="shared" si="0"/>
        <v>5</v>
      </c>
    </row>
    <row r="33" spans="1:5" ht="31.5">
      <c r="A33" s="4" t="s">
        <v>59</v>
      </c>
      <c r="B33" s="4" t="s">
        <v>21</v>
      </c>
      <c r="D33" s="1" t="s">
        <v>162</v>
      </c>
      <c r="E33">
        <f t="shared" si="0"/>
        <v>7</v>
      </c>
    </row>
    <row r="34" spans="1:5" ht="21">
      <c r="A34" s="4" t="s">
        <v>60</v>
      </c>
      <c r="B34" s="4" t="s">
        <v>22</v>
      </c>
      <c r="D34" s="1" t="s">
        <v>163</v>
      </c>
      <c r="E34">
        <f t="shared" si="0"/>
        <v>7</v>
      </c>
    </row>
    <row r="35" spans="1:5" ht="21">
      <c r="A35" s="4" t="s">
        <v>61</v>
      </c>
      <c r="B35" s="4" t="s">
        <v>266</v>
      </c>
      <c r="D35" s="1"/>
      <c r="E35">
        <f t="shared" si="0"/>
        <v>9</v>
      </c>
    </row>
    <row r="36" spans="1:5">
      <c r="A36" s="4" t="s">
        <v>62</v>
      </c>
      <c r="B36" s="4" t="s">
        <v>267</v>
      </c>
      <c r="D36" s="1"/>
      <c r="E36">
        <f t="shared" si="0"/>
        <v>9</v>
      </c>
    </row>
    <row r="37" spans="1:5" ht="21">
      <c r="A37" s="4" t="s">
        <v>63</v>
      </c>
      <c r="B37" s="4" t="s">
        <v>23</v>
      </c>
      <c r="D37" s="1" t="s">
        <v>164</v>
      </c>
      <c r="E37">
        <f t="shared" si="0"/>
        <v>7</v>
      </c>
    </row>
    <row r="38" spans="1:5" ht="21">
      <c r="A38" s="4" t="s">
        <v>64</v>
      </c>
      <c r="B38" s="4" t="s">
        <v>24</v>
      </c>
      <c r="D38" s="1" t="s">
        <v>165</v>
      </c>
      <c r="E38">
        <f t="shared" si="0"/>
        <v>5</v>
      </c>
    </row>
    <row r="39" spans="1:5" ht="21">
      <c r="A39" s="4" t="s">
        <v>65</v>
      </c>
      <c r="B39" s="4" t="s">
        <v>226</v>
      </c>
      <c r="D39" s="1" t="s">
        <v>166</v>
      </c>
      <c r="E39">
        <f t="shared" si="0"/>
        <v>5</v>
      </c>
    </row>
    <row r="40" spans="1:5">
      <c r="A40" s="4" t="s">
        <v>66</v>
      </c>
      <c r="B40" s="4" t="s">
        <v>25</v>
      </c>
      <c r="D40" s="1" t="s">
        <v>167</v>
      </c>
      <c r="E40">
        <f t="shared" si="0"/>
        <v>7</v>
      </c>
    </row>
    <row r="41" spans="1:5">
      <c r="A41" s="4" t="s">
        <v>67</v>
      </c>
      <c r="B41" s="4" t="s">
        <v>227</v>
      </c>
      <c r="D41" s="1" t="s">
        <v>438</v>
      </c>
      <c r="E41">
        <f t="shared" si="0"/>
        <v>9</v>
      </c>
    </row>
    <row r="42" spans="1:5" ht="21">
      <c r="A42" s="4" t="s">
        <v>68</v>
      </c>
      <c r="B42" s="4" t="s">
        <v>228</v>
      </c>
      <c r="D42" s="1" t="s">
        <v>1041</v>
      </c>
      <c r="E42">
        <f t="shared" si="0"/>
        <v>9</v>
      </c>
    </row>
    <row r="43" spans="1:5" ht="31.5">
      <c r="A43" s="4" t="s">
        <v>69</v>
      </c>
      <c r="B43" s="4" t="s">
        <v>26</v>
      </c>
      <c r="D43" s="1" t="s">
        <v>168</v>
      </c>
      <c r="E43">
        <f t="shared" si="0"/>
        <v>7</v>
      </c>
    </row>
    <row r="44" spans="1:5" ht="21">
      <c r="A44" s="4" t="s">
        <v>70</v>
      </c>
      <c r="B44" s="4" t="s">
        <v>229</v>
      </c>
      <c r="D44" s="1" t="s">
        <v>667</v>
      </c>
      <c r="E44">
        <f t="shared" si="0"/>
        <v>5</v>
      </c>
    </row>
    <row r="45" spans="1:5" ht="21">
      <c r="A45" s="4" t="s">
        <v>71</v>
      </c>
      <c r="B45" s="4" t="s">
        <v>27</v>
      </c>
      <c r="D45" s="1" t="s">
        <v>169</v>
      </c>
      <c r="E45">
        <f t="shared" si="0"/>
        <v>7</v>
      </c>
    </row>
    <row r="46" spans="1:5" ht="21">
      <c r="A46" s="4" t="s">
        <v>72</v>
      </c>
      <c r="B46" s="4" t="s">
        <v>230</v>
      </c>
      <c r="D46" s="1" t="s">
        <v>170</v>
      </c>
      <c r="E46">
        <f t="shared" si="0"/>
        <v>7</v>
      </c>
    </row>
    <row r="47" spans="1:5" ht="21">
      <c r="A47" s="4" t="s">
        <v>73</v>
      </c>
      <c r="B47" s="4" t="s">
        <v>28</v>
      </c>
      <c r="D47" s="1" t="s">
        <v>171</v>
      </c>
      <c r="E47">
        <f t="shared" si="0"/>
        <v>9</v>
      </c>
    </row>
    <row r="48" spans="1:5" ht="21">
      <c r="A48" s="4" t="s">
        <v>74</v>
      </c>
      <c r="B48" s="4" t="s">
        <v>268</v>
      </c>
      <c r="D48" s="1" t="s">
        <v>172</v>
      </c>
      <c r="E48">
        <f t="shared" si="0"/>
        <v>9</v>
      </c>
    </row>
    <row r="49" spans="1:5" ht="21">
      <c r="A49" s="4" t="s">
        <v>75</v>
      </c>
      <c r="B49" s="4" t="s">
        <v>269</v>
      </c>
      <c r="D49" s="1" t="s">
        <v>173</v>
      </c>
      <c r="E49">
        <f t="shared" si="0"/>
        <v>9</v>
      </c>
    </row>
    <row r="50" spans="1:5" ht="21">
      <c r="A50" s="4" t="s">
        <v>76</v>
      </c>
      <c r="B50" s="4" t="s">
        <v>29</v>
      </c>
      <c r="D50" s="1" t="s">
        <v>174</v>
      </c>
      <c r="E50">
        <f t="shared" si="0"/>
        <v>9</v>
      </c>
    </row>
    <row r="51" spans="1:5" ht="21">
      <c r="A51" s="4" t="s">
        <v>77</v>
      </c>
      <c r="B51" s="4" t="s">
        <v>231</v>
      </c>
      <c r="D51" s="1" t="s">
        <v>175</v>
      </c>
      <c r="E51">
        <f t="shared" si="0"/>
        <v>5</v>
      </c>
    </row>
    <row r="52" spans="1:5" ht="21">
      <c r="A52" s="4" t="s">
        <v>78</v>
      </c>
      <c r="B52" s="4" t="s">
        <v>270</v>
      </c>
      <c r="D52" s="1" t="s">
        <v>176</v>
      </c>
      <c r="E52">
        <f t="shared" si="0"/>
        <v>7</v>
      </c>
    </row>
    <row r="53" spans="1:5" ht="21">
      <c r="A53" s="4" t="s">
        <v>79</v>
      </c>
      <c r="B53" s="4" t="s">
        <v>271</v>
      </c>
      <c r="D53" s="1" t="s">
        <v>177</v>
      </c>
      <c r="E53">
        <f t="shared" si="0"/>
        <v>7</v>
      </c>
    </row>
    <row r="54" spans="1:5" ht="21">
      <c r="A54" s="4" t="s">
        <v>80</v>
      </c>
      <c r="B54" s="4" t="s">
        <v>272</v>
      </c>
      <c r="D54" s="1"/>
      <c r="E54">
        <f t="shared" si="0"/>
        <v>9</v>
      </c>
    </row>
    <row r="55" spans="1:5" ht="21">
      <c r="A55" s="4" t="s">
        <v>81</v>
      </c>
      <c r="B55" s="4" t="s">
        <v>273</v>
      </c>
      <c r="D55" s="1"/>
      <c r="E55">
        <f t="shared" si="0"/>
        <v>9</v>
      </c>
    </row>
    <row r="56" spans="1:5" ht="31.5">
      <c r="A56" s="4" t="s">
        <v>82</v>
      </c>
      <c r="B56" s="4" t="s">
        <v>232</v>
      </c>
      <c r="D56" s="1"/>
      <c r="E56">
        <f t="shared" si="0"/>
        <v>9</v>
      </c>
    </row>
    <row r="57" spans="1:5" ht="21">
      <c r="A57" s="4" t="s">
        <v>83</v>
      </c>
      <c r="B57" s="4" t="s">
        <v>233</v>
      </c>
      <c r="D57" s="1" t="s">
        <v>178</v>
      </c>
      <c r="E57">
        <f t="shared" si="0"/>
        <v>5</v>
      </c>
    </row>
    <row r="58" spans="1:5">
      <c r="A58" s="4" t="s">
        <v>84</v>
      </c>
      <c r="B58" s="4" t="s">
        <v>274</v>
      </c>
      <c r="D58" s="1" t="s">
        <v>367</v>
      </c>
      <c r="E58">
        <f t="shared" si="0"/>
        <v>7</v>
      </c>
    </row>
    <row r="59" spans="1:5">
      <c r="A59" s="4" t="s">
        <v>85</v>
      </c>
      <c r="B59" s="4" t="s">
        <v>275</v>
      </c>
      <c r="D59" s="1" t="s">
        <v>179</v>
      </c>
      <c r="E59">
        <f t="shared" si="0"/>
        <v>7</v>
      </c>
    </row>
    <row r="60" spans="1:5" ht="21">
      <c r="A60" s="4" t="s">
        <v>86</v>
      </c>
      <c r="B60" s="4" t="s">
        <v>234</v>
      </c>
      <c r="D60" s="1" t="s">
        <v>180</v>
      </c>
      <c r="E60">
        <f t="shared" si="0"/>
        <v>3</v>
      </c>
    </row>
    <row r="61" spans="1:5" ht="21">
      <c r="A61" s="4" t="s">
        <v>87</v>
      </c>
      <c r="B61" s="4" t="s">
        <v>276</v>
      </c>
      <c r="D61" s="1" t="s">
        <v>181</v>
      </c>
      <c r="E61">
        <f t="shared" si="0"/>
        <v>5</v>
      </c>
    </row>
    <row r="62" spans="1:5" ht="21">
      <c r="A62" s="4" t="s">
        <v>88</v>
      </c>
      <c r="B62" s="4" t="s">
        <v>277</v>
      </c>
      <c r="D62" s="1" t="s">
        <v>182</v>
      </c>
      <c r="E62">
        <f t="shared" si="0"/>
        <v>5</v>
      </c>
    </row>
    <row r="63" spans="1:5">
      <c r="A63" s="4" t="s">
        <v>89</v>
      </c>
      <c r="B63" s="4" t="s">
        <v>278</v>
      </c>
      <c r="D63" s="1" t="s">
        <v>183</v>
      </c>
      <c r="E63">
        <f t="shared" si="0"/>
        <v>3</v>
      </c>
    </row>
    <row r="64" spans="1:5" ht="31.5">
      <c r="A64" s="4" t="s">
        <v>90</v>
      </c>
      <c r="B64" s="4" t="s">
        <v>235</v>
      </c>
      <c r="D64" s="1" t="s">
        <v>816</v>
      </c>
      <c r="E64">
        <f t="shared" si="0"/>
        <v>3</v>
      </c>
    </row>
    <row r="65" spans="1:5" ht="21">
      <c r="A65" s="4" t="s">
        <v>91</v>
      </c>
      <c r="B65" s="4" t="s">
        <v>236</v>
      </c>
      <c r="D65" s="1" t="s">
        <v>184</v>
      </c>
      <c r="E65">
        <f t="shared" si="0"/>
        <v>5</v>
      </c>
    </row>
    <row r="66" spans="1:5" ht="42">
      <c r="A66" s="4" t="s">
        <v>92</v>
      </c>
      <c r="B66" s="4" t="s">
        <v>279</v>
      </c>
      <c r="D66" s="1" t="s">
        <v>185</v>
      </c>
      <c r="E66">
        <f t="shared" si="0"/>
        <v>7</v>
      </c>
    </row>
    <row r="67" spans="1:5" ht="31.5">
      <c r="A67" s="4" t="s">
        <v>93</v>
      </c>
      <c r="B67" s="4" t="s">
        <v>280</v>
      </c>
      <c r="D67" s="1" t="s">
        <v>186</v>
      </c>
      <c r="E67">
        <f t="shared" si="0"/>
        <v>7</v>
      </c>
    </row>
    <row r="68" spans="1:5" ht="31.5">
      <c r="A68" s="4" t="s">
        <v>94</v>
      </c>
      <c r="B68" s="4" t="s">
        <v>281</v>
      </c>
      <c r="D68" s="1" t="s">
        <v>187</v>
      </c>
      <c r="E68">
        <f t="shared" si="0"/>
        <v>7</v>
      </c>
    </row>
    <row r="69" spans="1:5">
      <c r="A69" s="4" t="s">
        <v>95</v>
      </c>
      <c r="B69" s="4" t="s">
        <v>282</v>
      </c>
      <c r="D69" s="1" t="s">
        <v>188</v>
      </c>
      <c r="E69">
        <f t="shared" si="0"/>
        <v>5</v>
      </c>
    </row>
    <row r="70" spans="1:5" ht="31.5">
      <c r="A70" s="4" t="s">
        <v>96</v>
      </c>
      <c r="B70" s="4" t="s">
        <v>237</v>
      </c>
      <c r="D70" s="1" t="s">
        <v>189</v>
      </c>
      <c r="E70">
        <f t="shared" ref="E70:E109" si="1">FIND("C",A70)</f>
        <v>3</v>
      </c>
    </row>
    <row r="71" spans="1:5" ht="21">
      <c r="A71" s="4" t="s">
        <v>97</v>
      </c>
      <c r="B71" s="4" t="s">
        <v>238</v>
      </c>
      <c r="D71" s="1" t="s">
        <v>671</v>
      </c>
      <c r="E71">
        <f t="shared" si="1"/>
        <v>5</v>
      </c>
    </row>
    <row r="72" spans="1:5" ht="21">
      <c r="A72" s="4" t="s">
        <v>98</v>
      </c>
      <c r="B72" s="4" t="s">
        <v>283</v>
      </c>
      <c r="D72" s="1" t="s">
        <v>190</v>
      </c>
      <c r="E72">
        <f t="shared" si="1"/>
        <v>7</v>
      </c>
    </row>
    <row r="73" spans="1:5">
      <c r="A73" s="4" t="s">
        <v>99</v>
      </c>
      <c r="B73" s="4" t="s">
        <v>284</v>
      </c>
      <c r="D73" s="1" t="s">
        <v>191</v>
      </c>
      <c r="E73">
        <f t="shared" si="1"/>
        <v>7</v>
      </c>
    </row>
    <row r="74" spans="1:5">
      <c r="A74" s="4" t="s">
        <v>100</v>
      </c>
      <c r="B74" s="4" t="s">
        <v>285</v>
      </c>
      <c r="D74" s="1" t="s">
        <v>192</v>
      </c>
      <c r="E74">
        <f t="shared" si="1"/>
        <v>7</v>
      </c>
    </row>
    <row r="75" spans="1:5" ht="21">
      <c r="A75" s="4" t="s">
        <v>101</v>
      </c>
      <c r="B75" s="4" t="s">
        <v>286</v>
      </c>
      <c r="D75" s="1" t="s">
        <v>193</v>
      </c>
      <c r="E75">
        <f t="shared" si="1"/>
        <v>7</v>
      </c>
    </row>
    <row r="76" spans="1:5" ht="21">
      <c r="A76" s="4" t="s">
        <v>102</v>
      </c>
      <c r="B76" s="4" t="s">
        <v>287</v>
      </c>
      <c r="D76" s="1" t="s">
        <v>194</v>
      </c>
      <c r="E76">
        <f t="shared" si="1"/>
        <v>5</v>
      </c>
    </row>
    <row r="77" spans="1:5" ht="31.5">
      <c r="A77" s="4" t="s">
        <v>103</v>
      </c>
      <c r="B77" s="4" t="s">
        <v>239</v>
      </c>
      <c r="D77" s="1" t="s">
        <v>817</v>
      </c>
      <c r="E77">
        <f t="shared" si="1"/>
        <v>3</v>
      </c>
    </row>
    <row r="78" spans="1:5" ht="21">
      <c r="A78" s="4" t="s">
        <v>104</v>
      </c>
      <c r="B78" s="4" t="s">
        <v>240</v>
      </c>
      <c r="D78" s="1" t="s">
        <v>195</v>
      </c>
      <c r="E78">
        <f t="shared" si="1"/>
        <v>5</v>
      </c>
    </row>
    <row r="79" spans="1:5" ht="31.5">
      <c r="A79" s="4" t="s">
        <v>105</v>
      </c>
      <c r="B79" s="4" t="s">
        <v>288</v>
      </c>
      <c r="D79" s="1" t="s">
        <v>196</v>
      </c>
      <c r="E79">
        <f t="shared" si="1"/>
        <v>7</v>
      </c>
    </row>
    <row r="80" spans="1:5" ht="31.5">
      <c r="A80" s="4" t="s">
        <v>106</v>
      </c>
      <c r="B80" s="4" t="s">
        <v>289</v>
      </c>
      <c r="D80" s="1" t="s">
        <v>197</v>
      </c>
      <c r="E80">
        <f t="shared" si="1"/>
        <v>7</v>
      </c>
    </row>
    <row r="81" spans="1:5" ht="21">
      <c r="A81" s="4" t="s">
        <v>107</v>
      </c>
      <c r="B81" s="4" t="s">
        <v>290</v>
      </c>
      <c r="D81" s="1" t="s">
        <v>198</v>
      </c>
      <c r="E81">
        <f t="shared" si="1"/>
        <v>7</v>
      </c>
    </row>
    <row r="82" spans="1:5" ht="21">
      <c r="A82" s="4" t="s">
        <v>108</v>
      </c>
      <c r="B82" s="4" t="s">
        <v>241</v>
      </c>
      <c r="D82" s="1" t="s">
        <v>199</v>
      </c>
      <c r="E82">
        <f t="shared" si="1"/>
        <v>5</v>
      </c>
    </row>
    <row r="83" spans="1:5">
      <c r="A83" s="4" t="s">
        <v>109</v>
      </c>
      <c r="B83" s="4" t="s">
        <v>291</v>
      </c>
      <c r="D83" s="1" t="s">
        <v>200</v>
      </c>
      <c r="E83">
        <f t="shared" si="1"/>
        <v>7</v>
      </c>
    </row>
    <row r="84" spans="1:5" ht="31.5">
      <c r="A84" s="4" t="s">
        <v>110</v>
      </c>
      <c r="B84" s="4" t="s">
        <v>242</v>
      </c>
      <c r="D84" s="1" t="s">
        <v>213</v>
      </c>
      <c r="E84">
        <f t="shared" si="1"/>
        <v>7</v>
      </c>
    </row>
    <row r="85" spans="1:5" ht="21">
      <c r="A85" s="4" t="s">
        <v>111</v>
      </c>
      <c r="B85" s="4" t="s">
        <v>292</v>
      </c>
      <c r="D85" s="1" t="s">
        <v>201</v>
      </c>
      <c r="E85">
        <f t="shared" si="1"/>
        <v>9</v>
      </c>
    </row>
    <row r="86" spans="1:5" ht="21">
      <c r="A86" s="4" t="s">
        <v>112</v>
      </c>
      <c r="B86" s="4" t="s">
        <v>293</v>
      </c>
      <c r="D86" s="1" t="s">
        <v>202</v>
      </c>
      <c r="E86">
        <f t="shared" si="1"/>
        <v>9</v>
      </c>
    </row>
    <row r="87" spans="1:5" ht="21">
      <c r="A87" s="4" t="s">
        <v>113</v>
      </c>
      <c r="B87" s="4" t="s">
        <v>294</v>
      </c>
      <c r="D87" s="1" t="s">
        <v>203</v>
      </c>
      <c r="E87">
        <f t="shared" si="1"/>
        <v>9</v>
      </c>
    </row>
    <row r="88" spans="1:5" ht="21">
      <c r="A88" s="4" t="s">
        <v>114</v>
      </c>
      <c r="B88" s="4" t="s">
        <v>295</v>
      </c>
      <c r="D88" s="1" t="s">
        <v>204</v>
      </c>
      <c r="E88">
        <f t="shared" si="1"/>
        <v>9</v>
      </c>
    </row>
    <row r="89" spans="1:5" ht="31.5">
      <c r="A89" s="4" t="s">
        <v>115</v>
      </c>
      <c r="B89" s="4" t="s">
        <v>243</v>
      </c>
      <c r="D89" s="1" t="s">
        <v>1043</v>
      </c>
      <c r="E89">
        <f t="shared" si="1"/>
        <v>3</v>
      </c>
    </row>
    <row r="90" spans="1:5" ht="31.5">
      <c r="A90" s="4" t="s">
        <v>116</v>
      </c>
      <c r="B90" s="4" t="s">
        <v>296</v>
      </c>
      <c r="D90" s="1" t="s">
        <v>999</v>
      </c>
      <c r="E90">
        <f t="shared" si="1"/>
        <v>5</v>
      </c>
    </row>
    <row r="91" spans="1:5">
      <c r="A91" s="4" t="s">
        <v>117</v>
      </c>
      <c r="B91" s="4" t="s">
        <v>297</v>
      </c>
      <c r="D91" s="1" t="s">
        <v>205</v>
      </c>
      <c r="E91">
        <f t="shared" si="1"/>
        <v>5</v>
      </c>
    </row>
    <row r="92" spans="1:5">
      <c r="A92" s="4" t="s">
        <v>118</v>
      </c>
      <c r="B92" s="4" t="s">
        <v>298</v>
      </c>
      <c r="D92" s="1" t="s">
        <v>206</v>
      </c>
      <c r="E92">
        <f t="shared" si="1"/>
        <v>5</v>
      </c>
    </row>
    <row r="93" spans="1:5" ht="21">
      <c r="A93" s="4" t="s">
        <v>119</v>
      </c>
      <c r="B93" s="4" t="s">
        <v>244</v>
      </c>
      <c r="D93" s="1" t="s">
        <v>207</v>
      </c>
      <c r="E93">
        <f t="shared" si="1"/>
        <v>5</v>
      </c>
    </row>
    <row r="94" spans="1:5" ht="31.5">
      <c r="A94" s="4" t="s">
        <v>120</v>
      </c>
      <c r="B94" s="4" t="s">
        <v>299</v>
      </c>
      <c r="D94" s="1" t="s">
        <v>208</v>
      </c>
      <c r="E94">
        <f t="shared" si="1"/>
        <v>7</v>
      </c>
    </row>
    <row r="95" spans="1:5" ht="31.5">
      <c r="A95" s="4" t="s">
        <v>121</v>
      </c>
      <c r="B95" s="4" t="s">
        <v>300</v>
      </c>
      <c r="D95" s="1" t="s">
        <v>209</v>
      </c>
      <c r="E95">
        <f t="shared" si="1"/>
        <v>7</v>
      </c>
    </row>
    <row r="96" spans="1:5" ht="21">
      <c r="A96" s="4" t="s">
        <v>122</v>
      </c>
      <c r="B96" s="4" t="s">
        <v>301</v>
      </c>
      <c r="D96" s="1" t="s">
        <v>210</v>
      </c>
      <c r="E96">
        <f t="shared" si="1"/>
        <v>7</v>
      </c>
    </row>
    <row r="97" spans="1:5" ht="21">
      <c r="A97" s="4" t="s">
        <v>123</v>
      </c>
      <c r="B97" s="4" t="s">
        <v>302</v>
      </c>
      <c r="D97" s="1" t="s">
        <v>211</v>
      </c>
      <c r="E97">
        <f t="shared" si="1"/>
        <v>7</v>
      </c>
    </row>
    <row r="98" spans="1:5" ht="21">
      <c r="A98" s="4" t="s">
        <v>124</v>
      </c>
      <c r="B98" s="4" t="s">
        <v>303</v>
      </c>
      <c r="D98" s="8" t="s">
        <v>212</v>
      </c>
      <c r="E98">
        <f t="shared" si="1"/>
        <v>5</v>
      </c>
    </row>
    <row r="99" spans="1:5" ht="21">
      <c r="A99" s="4" t="s">
        <v>125</v>
      </c>
      <c r="B99" s="4" t="s">
        <v>245</v>
      </c>
      <c r="E99">
        <f t="shared" si="1"/>
        <v>1</v>
      </c>
    </row>
    <row r="100" spans="1:5" ht="31.5">
      <c r="A100" s="4" t="s">
        <v>126</v>
      </c>
      <c r="B100" s="4" t="s">
        <v>246</v>
      </c>
      <c r="E100">
        <f t="shared" si="1"/>
        <v>1</v>
      </c>
    </row>
    <row r="101" spans="1:5">
      <c r="A101" s="4" t="s">
        <v>127</v>
      </c>
      <c r="B101" s="4" t="s">
        <v>247</v>
      </c>
      <c r="E101">
        <f t="shared" si="1"/>
        <v>1</v>
      </c>
    </row>
    <row r="102" spans="1:5" ht="21">
      <c r="A102" s="4" t="s">
        <v>128</v>
      </c>
      <c r="B102" s="4" t="s">
        <v>248</v>
      </c>
      <c r="E102">
        <f t="shared" si="1"/>
        <v>1</v>
      </c>
    </row>
    <row r="103" spans="1:5" ht="31.5">
      <c r="A103" s="4" t="s">
        <v>129</v>
      </c>
      <c r="B103" s="4" t="s">
        <v>249</v>
      </c>
      <c r="E103">
        <f t="shared" si="1"/>
        <v>1</v>
      </c>
    </row>
    <row r="104" spans="1:5" ht="31.5">
      <c r="A104" s="4" t="s">
        <v>130</v>
      </c>
      <c r="B104" s="4" t="s">
        <v>250</v>
      </c>
      <c r="E104">
        <f t="shared" si="1"/>
        <v>1</v>
      </c>
    </row>
    <row r="105" spans="1:5" ht="21">
      <c r="A105" s="4" t="s">
        <v>131</v>
      </c>
      <c r="B105" s="4" t="s">
        <v>251</v>
      </c>
      <c r="E105">
        <f t="shared" si="1"/>
        <v>5</v>
      </c>
    </row>
    <row r="106" spans="1:5" ht="21">
      <c r="A106" s="4" t="s">
        <v>132</v>
      </c>
      <c r="B106" s="4" t="s">
        <v>252</v>
      </c>
      <c r="E106">
        <f t="shared" si="1"/>
        <v>5</v>
      </c>
    </row>
    <row r="107" spans="1:5" ht="21">
      <c r="A107" s="4" t="s">
        <v>133</v>
      </c>
      <c r="B107" s="4" t="s">
        <v>253</v>
      </c>
      <c r="E107">
        <f t="shared" si="1"/>
        <v>5</v>
      </c>
    </row>
    <row r="108" spans="1:5" ht="21">
      <c r="A108" s="4" t="s">
        <v>134</v>
      </c>
      <c r="B108" s="4" t="s">
        <v>254</v>
      </c>
      <c r="E108">
        <f t="shared" si="1"/>
        <v>5</v>
      </c>
    </row>
    <row r="109" spans="1:5" ht="21">
      <c r="A109" s="4" t="s">
        <v>135</v>
      </c>
      <c r="B109" s="4" t="s">
        <v>255</v>
      </c>
      <c r="E109">
        <f t="shared" si="1"/>
        <v>6</v>
      </c>
    </row>
    <row r="110" spans="1:5" ht="21">
      <c r="A110" s="4" t="s">
        <v>136</v>
      </c>
      <c r="B110" s="4" t="s">
        <v>256</v>
      </c>
      <c r="E110">
        <v>9</v>
      </c>
    </row>
    <row r="111" spans="1:5">
      <c r="A111" s="5" t="s">
        <v>137</v>
      </c>
      <c r="B111" s="5" t="s">
        <v>304</v>
      </c>
    </row>
    <row r="112" spans="1:5">
      <c r="A112" s="6"/>
      <c r="B112" s="6"/>
    </row>
    <row r="113" spans="1:4">
      <c r="A113" s="7"/>
      <c r="B113" s="7"/>
      <c r="D113"/>
    </row>
    <row r="114" spans="1:4">
      <c r="A114" s="7"/>
      <c r="B114" s="7"/>
      <c r="D114"/>
    </row>
  </sheetData>
  <hyperlinks>
    <hyperlink ref="A111" r:id="rId1" tooltip="Click once to display linked information. Click and hold to select this cell." display="http://stats.oecd.org/"/>
    <hyperlink ref="B111" r:id="rId2" tooltip="Click once to display linked information. Click and hold to select this cell." display="http://stats.oecd.org/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14"/>
  <sheetViews>
    <sheetView topLeftCell="B74" workbookViewId="0">
      <selection activeCell="E110" sqref="E110"/>
    </sheetView>
  </sheetViews>
  <sheetFormatPr defaultRowHeight="15"/>
  <cols>
    <col min="1" max="1" width="26.7109375" hidden="1" customWidth="1"/>
    <col min="2" max="2" width="26.7109375" customWidth="1"/>
    <col min="3" max="3" width="0" hidden="1" customWidth="1"/>
    <col min="4" max="4" width="42.85546875" style="8" customWidth="1"/>
  </cols>
  <sheetData>
    <row r="1" spans="1:5">
      <c r="A1" s="3"/>
      <c r="B1" s="3"/>
    </row>
    <row r="2" spans="1:5">
      <c r="A2" s="3"/>
      <c r="B2" s="3"/>
    </row>
    <row r="3" spans="1:5">
      <c r="A3" s="3"/>
      <c r="B3" s="3"/>
    </row>
    <row r="4" spans="1:5">
      <c r="A4" s="3" t="s">
        <v>305</v>
      </c>
      <c r="B4" s="3" t="s">
        <v>305</v>
      </c>
      <c r="D4" s="2" t="s">
        <v>310</v>
      </c>
    </row>
    <row r="5" spans="1:5">
      <c r="A5" s="4" t="s">
        <v>31</v>
      </c>
      <c r="B5" s="4" t="s">
        <v>214</v>
      </c>
      <c r="D5" s="1" t="s">
        <v>138</v>
      </c>
      <c r="E5">
        <f>FIND("C",A5)</f>
        <v>1</v>
      </c>
    </row>
    <row r="6" spans="1:5" ht="31.5">
      <c r="A6" s="4" t="s">
        <v>32</v>
      </c>
      <c r="B6" s="4" t="s">
        <v>215</v>
      </c>
      <c r="D6" s="1" t="s">
        <v>660</v>
      </c>
      <c r="E6">
        <f t="shared" ref="E6:E69" si="0">FIND("C",A6)</f>
        <v>3</v>
      </c>
    </row>
    <row r="7" spans="1:5" ht="21">
      <c r="A7" s="4" t="s">
        <v>33</v>
      </c>
      <c r="B7" s="4" t="s">
        <v>216</v>
      </c>
      <c r="D7" s="1" t="s">
        <v>139</v>
      </c>
      <c r="E7">
        <f t="shared" si="0"/>
        <v>5</v>
      </c>
    </row>
    <row r="8" spans="1:5" ht="21">
      <c r="A8" s="4" t="s">
        <v>34</v>
      </c>
      <c r="B8" s="4" t="s">
        <v>257</v>
      </c>
      <c r="D8" s="1" t="s">
        <v>140</v>
      </c>
      <c r="E8">
        <f t="shared" si="0"/>
        <v>7</v>
      </c>
    </row>
    <row r="9" spans="1:5" ht="21">
      <c r="A9" s="4" t="s">
        <v>35</v>
      </c>
      <c r="B9" s="4" t="s">
        <v>258</v>
      </c>
      <c r="D9" s="1" t="s">
        <v>141</v>
      </c>
      <c r="E9">
        <f t="shared" si="0"/>
        <v>7</v>
      </c>
    </row>
    <row r="10" spans="1:5" ht="31.5">
      <c r="A10" s="4" t="s">
        <v>36</v>
      </c>
      <c r="B10" s="4" t="s">
        <v>259</v>
      </c>
      <c r="D10" s="1" t="s">
        <v>142</v>
      </c>
      <c r="E10">
        <f t="shared" si="0"/>
        <v>5</v>
      </c>
    </row>
    <row r="11" spans="1:5" ht="21">
      <c r="A11" s="4" t="s">
        <v>37</v>
      </c>
      <c r="B11" s="4" t="s">
        <v>217</v>
      </c>
      <c r="D11" s="1" t="s">
        <v>813</v>
      </c>
      <c r="E11">
        <f t="shared" si="0"/>
        <v>3</v>
      </c>
    </row>
    <row r="12" spans="1:5" ht="31.5">
      <c r="A12" s="4" t="s">
        <v>38</v>
      </c>
      <c r="B12" s="4" t="s">
        <v>218</v>
      </c>
      <c r="D12" s="1" t="s">
        <v>143</v>
      </c>
      <c r="E12">
        <f t="shared" si="0"/>
        <v>5</v>
      </c>
    </row>
    <row r="13" spans="1:5" ht="21">
      <c r="A13" s="4" t="s">
        <v>39</v>
      </c>
      <c r="B13" s="4" t="s">
        <v>260</v>
      </c>
      <c r="D13" s="1" t="s">
        <v>144</v>
      </c>
      <c r="E13">
        <f t="shared" si="0"/>
        <v>7</v>
      </c>
    </row>
    <row r="14" spans="1:5" ht="31.5">
      <c r="A14" s="4" t="s">
        <v>40</v>
      </c>
      <c r="B14" s="4" t="s">
        <v>261</v>
      </c>
      <c r="D14" s="1" t="s">
        <v>145</v>
      </c>
      <c r="E14">
        <f t="shared" si="0"/>
        <v>7</v>
      </c>
    </row>
    <row r="15" spans="1:5" ht="21">
      <c r="A15" s="4" t="s">
        <v>41</v>
      </c>
      <c r="B15" s="4" t="s">
        <v>262</v>
      </c>
      <c r="D15" s="1" t="s">
        <v>146</v>
      </c>
      <c r="E15">
        <f t="shared" si="0"/>
        <v>7</v>
      </c>
    </row>
    <row r="16" spans="1:5" ht="31.5">
      <c r="A16" s="4" t="s">
        <v>42</v>
      </c>
      <c r="B16" s="4" t="s">
        <v>219</v>
      </c>
      <c r="D16" s="1" t="s">
        <v>147</v>
      </c>
      <c r="E16">
        <f t="shared" si="0"/>
        <v>5</v>
      </c>
    </row>
    <row r="17" spans="1:5">
      <c r="A17" s="4" t="s">
        <v>43</v>
      </c>
      <c r="B17" s="4" t="s">
        <v>263</v>
      </c>
      <c r="D17" s="1" t="s">
        <v>148</v>
      </c>
      <c r="E17">
        <f t="shared" si="0"/>
        <v>7</v>
      </c>
    </row>
    <row r="18" spans="1:5" ht="21">
      <c r="A18" s="4" t="s">
        <v>44</v>
      </c>
      <c r="B18" s="4" t="s">
        <v>264</v>
      </c>
      <c r="D18" s="1" t="s">
        <v>149</v>
      </c>
      <c r="E18">
        <f t="shared" si="0"/>
        <v>7</v>
      </c>
    </row>
    <row r="19" spans="1:5">
      <c r="A19" s="4" t="s">
        <v>45</v>
      </c>
      <c r="B19" s="4" t="s">
        <v>220</v>
      </c>
      <c r="D19" s="1" t="s">
        <v>150</v>
      </c>
      <c r="E19">
        <f t="shared" si="0"/>
        <v>3</v>
      </c>
    </row>
    <row r="20" spans="1:5" ht="21">
      <c r="A20" s="4" t="s">
        <v>46</v>
      </c>
      <c r="B20" s="4" t="s">
        <v>221</v>
      </c>
      <c r="D20" s="1" t="s">
        <v>151</v>
      </c>
      <c r="E20">
        <f t="shared" si="0"/>
        <v>5</v>
      </c>
    </row>
    <row r="21" spans="1:5" ht="21">
      <c r="A21" s="4" t="s">
        <v>47</v>
      </c>
      <c r="B21" s="4" t="s">
        <v>265</v>
      </c>
      <c r="D21" s="1" t="s">
        <v>152</v>
      </c>
      <c r="E21">
        <f t="shared" si="0"/>
        <v>7</v>
      </c>
    </row>
    <row r="22" spans="1:5">
      <c r="A22" s="4" t="s">
        <v>48</v>
      </c>
      <c r="B22" s="4" t="s">
        <v>14</v>
      </c>
      <c r="D22" s="1" t="s">
        <v>153</v>
      </c>
      <c r="E22">
        <f t="shared" si="0"/>
        <v>7</v>
      </c>
    </row>
    <row r="23" spans="1:5" ht="21">
      <c r="A23" s="4" t="s">
        <v>49</v>
      </c>
      <c r="B23" s="4" t="s">
        <v>222</v>
      </c>
      <c r="D23" s="1" t="s">
        <v>814</v>
      </c>
      <c r="E23">
        <f t="shared" si="0"/>
        <v>5</v>
      </c>
    </row>
    <row r="24" spans="1:5" ht="21">
      <c r="A24" s="4" t="s">
        <v>50</v>
      </c>
      <c r="B24" s="4" t="s">
        <v>223</v>
      </c>
      <c r="D24" s="1" t="s">
        <v>154</v>
      </c>
      <c r="E24">
        <f t="shared" si="0"/>
        <v>7</v>
      </c>
    </row>
    <row r="25" spans="1:5">
      <c r="A25" s="4" t="s">
        <v>51</v>
      </c>
      <c r="B25" s="4" t="s">
        <v>15</v>
      </c>
      <c r="D25" s="1" t="s">
        <v>155</v>
      </c>
      <c r="E25">
        <f t="shared" si="0"/>
        <v>9</v>
      </c>
    </row>
    <row r="26" spans="1:5" ht="21">
      <c r="A26" s="4" t="s">
        <v>52</v>
      </c>
      <c r="B26" s="4" t="s">
        <v>16</v>
      </c>
      <c r="D26" s="1" t="s">
        <v>156</v>
      </c>
      <c r="E26">
        <f t="shared" si="0"/>
        <v>9</v>
      </c>
    </row>
    <row r="27" spans="1:5" ht="21">
      <c r="A27" s="4" t="s">
        <v>53</v>
      </c>
      <c r="B27" s="4" t="s">
        <v>17</v>
      </c>
      <c r="D27" s="1" t="s">
        <v>157</v>
      </c>
      <c r="E27">
        <f t="shared" si="0"/>
        <v>7</v>
      </c>
    </row>
    <row r="28" spans="1:5" ht="21">
      <c r="A28" s="4" t="s">
        <v>54</v>
      </c>
      <c r="B28" s="4" t="s">
        <v>18</v>
      </c>
      <c r="D28" s="1" t="s">
        <v>158</v>
      </c>
      <c r="E28">
        <f t="shared" si="0"/>
        <v>5</v>
      </c>
    </row>
    <row r="29" spans="1:5" ht="31.5">
      <c r="A29" s="4" t="s">
        <v>55</v>
      </c>
      <c r="B29" s="4" t="s">
        <v>224</v>
      </c>
      <c r="D29" s="1" t="s">
        <v>159</v>
      </c>
      <c r="E29">
        <f t="shared" si="0"/>
        <v>5</v>
      </c>
    </row>
    <row r="30" spans="1:5" ht="21">
      <c r="A30" s="4" t="s">
        <v>56</v>
      </c>
      <c r="B30" s="4" t="s">
        <v>19</v>
      </c>
      <c r="D30" s="1" t="s">
        <v>160</v>
      </c>
      <c r="E30">
        <f t="shared" si="0"/>
        <v>7</v>
      </c>
    </row>
    <row r="31" spans="1:5" ht="21">
      <c r="A31" s="4" t="s">
        <v>57</v>
      </c>
      <c r="B31" s="4" t="s">
        <v>20</v>
      </c>
      <c r="D31" s="1" t="s">
        <v>161</v>
      </c>
      <c r="E31">
        <f t="shared" si="0"/>
        <v>7</v>
      </c>
    </row>
    <row r="32" spans="1:5" ht="21">
      <c r="A32" s="4" t="s">
        <v>58</v>
      </c>
      <c r="B32" s="4" t="s">
        <v>225</v>
      </c>
      <c r="D32" s="1" t="s">
        <v>815</v>
      </c>
      <c r="E32">
        <f t="shared" si="0"/>
        <v>5</v>
      </c>
    </row>
    <row r="33" spans="1:5" ht="31.5">
      <c r="A33" s="4" t="s">
        <v>59</v>
      </c>
      <c r="B33" s="4" t="s">
        <v>21</v>
      </c>
      <c r="D33" s="1" t="s">
        <v>162</v>
      </c>
      <c r="E33">
        <f t="shared" si="0"/>
        <v>7</v>
      </c>
    </row>
    <row r="34" spans="1:5" ht="21">
      <c r="A34" s="4" t="s">
        <v>60</v>
      </c>
      <c r="B34" s="4" t="s">
        <v>22</v>
      </c>
      <c r="D34" s="1" t="s">
        <v>163</v>
      </c>
      <c r="E34">
        <f t="shared" si="0"/>
        <v>7</v>
      </c>
    </row>
    <row r="35" spans="1:5" ht="21">
      <c r="A35" s="4" t="s">
        <v>61</v>
      </c>
      <c r="B35" s="4" t="s">
        <v>266</v>
      </c>
      <c r="D35" s="1"/>
      <c r="E35">
        <f t="shared" si="0"/>
        <v>9</v>
      </c>
    </row>
    <row r="36" spans="1:5">
      <c r="A36" s="4" t="s">
        <v>62</v>
      </c>
      <c r="B36" s="4" t="s">
        <v>267</v>
      </c>
      <c r="D36" s="1"/>
      <c r="E36">
        <f t="shared" si="0"/>
        <v>9</v>
      </c>
    </row>
    <row r="37" spans="1:5" ht="21">
      <c r="A37" s="4" t="s">
        <v>63</v>
      </c>
      <c r="B37" s="4" t="s">
        <v>23</v>
      </c>
      <c r="D37" s="1" t="s">
        <v>164</v>
      </c>
      <c r="E37">
        <f t="shared" si="0"/>
        <v>7</v>
      </c>
    </row>
    <row r="38" spans="1:5" ht="21">
      <c r="A38" s="4" t="s">
        <v>64</v>
      </c>
      <c r="B38" s="4" t="s">
        <v>24</v>
      </c>
      <c r="D38" s="1" t="s">
        <v>165</v>
      </c>
      <c r="E38">
        <f t="shared" si="0"/>
        <v>5</v>
      </c>
    </row>
    <row r="39" spans="1:5" ht="21">
      <c r="A39" s="4" t="s">
        <v>65</v>
      </c>
      <c r="B39" s="4" t="s">
        <v>226</v>
      </c>
      <c r="D39" s="1" t="s">
        <v>166</v>
      </c>
      <c r="E39">
        <f t="shared" si="0"/>
        <v>5</v>
      </c>
    </row>
    <row r="40" spans="1:5">
      <c r="A40" s="4" t="s">
        <v>66</v>
      </c>
      <c r="B40" s="4" t="s">
        <v>25</v>
      </c>
      <c r="D40" s="1" t="s">
        <v>167</v>
      </c>
      <c r="E40">
        <f t="shared" si="0"/>
        <v>7</v>
      </c>
    </row>
    <row r="41" spans="1:5">
      <c r="A41" s="4" t="s">
        <v>67</v>
      </c>
      <c r="B41" s="4" t="s">
        <v>227</v>
      </c>
      <c r="D41" s="1" t="s">
        <v>438</v>
      </c>
      <c r="E41">
        <f t="shared" si="0"/>
        <v>9</v>
      </c>
    </row>
    <row r="42" spans="1:5" ht="21">
      <c r="A42" s="4" t="s">
        <v>68</v>
      </c>
      <c r="B42" s="4" t="s">
        <v>228</v>
      </c>
      <c r="D42" s="1" t="s">
        <v>1041</v>
      </c>
      <c r="E42">
        <f t="shared" si="0"/>
        <v>9</v>
      </c>
    </row>
    <row r="43" spans="1:5" ht="31.5">
      <c r="A43" s="4" t="s">
        <v>69</v>
      </c>
      <c r="B43" s="4" t="s">
        <v>26</v>
      </c>
      <c r="D43" s="1" t="s">
        <v>168</v>
      </c>
      <c r="E43">
        <f t="shared" si="0"/>
        <v>7</v>
      </c>
    </row>
    <row r="44" spans="1:5" ht="21">
      <c r="A44" s="4" t="s">
        <v>70</v>
      </c>
      <c r="B44" s="4" t="s">
        <v>229</v>
      </c>
      <c r="D44" s="1" t="s">
        <v>667</v>
      </c>
      <c r="E44">
        <f t="shared" si="0"/>
        <v>5</v>
      </c>
    </row>
    <row r="45" spans="1:5" ht="21">
      <c r="A45" s="4" t="s">
        <v>71</v>
      </c>
      <c r="B45" s="4" t="s">
        <v>27</v>
      </c>
      <c r="D45" s="1" t="s">
        <v>169</v>
      </c>
      <c r="E45">
        <f t="shared" si="0"/>
        <v>7</v>
      </c>
    </row>
    <row r="46" spans="1:5" ht="21">
      <c r="A46" s="4" t="s">
        <v>72</v>
      </c>
      <c r="B46" s="4" t="s">
        <v>230</v>
      </c>
      <c r="D46" s="1" t="s">
        <v>170</v>
      </c>
      <c r="E46">
        <f t="shared" si="0"/>
        <v>7</v>
      </c>
    </row>
    <row r="47" spans="1:5" ht="21">
      <c r="A47" s="4" t="s">
        <v>73</v>
      </c>
      <c r="B47" s="4" t="s">
        <v>28</v>
      </c>
      <c r="D47" s="1" t="s">
        <v>171</v>
      </c>
      <c r="E47">
        <f t="shared" si="0"/>
        <v>9</v>
      </c>
    </row>
    <row r="48" spans="1:5" ht="21">
      <c r="A48" s="4" t="s">
        <v>74</v>
      </c>
      <c r="B48" s="4" t="s">
        <v>268</v>
      </c>
      <c r="D48" s="1" t="s">
        <v>172</v>
      </c>
      <c r="E48">
        <f t="shared" si="0"/>
        <v>9</v>
      </c>
    </row>
    <row r="49" spans="1:5" ht="21">
      <c r="A49" s="4" t="s">
        <v>75</v>
      </c>
      <c r="B49" s="4" t="s">
        <v>269</v>
      </c>
      <c r="D49" s="1" t="s">
        <v>173</v>
      </c>
      <c r="E49">
        <f t="shared" si="0"/>
        <v>9</v>
      </c>
    </row>
    <row r="50" spans="1:5" ht="21">
      <c r="A50" s="4" t="s">
        <v>76</v>
      </c>
      <c r="B50" s="4" t="s">
        <v>29</v>
      </c>
      <c r="D50" s="1" t="s">
        <v>174</v>
      </c>
      <c r="E50">
        <f t="shared" si="0"/>
        <v>9</v>
      </c>
    </row>
    <row r="51" spans="1:5" ht="21">
      <c r="A51" s="4" t="s">
        <v>77</v>
      </c>
      <c r="B51" s="4" t="s">
        <v>231</v>
      </c>
      <c r="D51" s="1" t="s">
        <v>175</v>
      </c>
      <c r="E51">
        <f t="shared" si="0"/>
        <v>5</v>
      </c>
    </row>
    <row r="52" spans="1:5" ht="21">
      <c r="A52" s="4" t="s">
        <v>78</v>
      </c>
      <c r="B52" s="4" t="s">
        <v>270</v>
      </c>
      <c r="D52" s="1" t="s">
        <v>176</v>
      </c>
      <c r="E52">
        <f t="shared" si="0"/>
        <v>7</v>
      </c>
    </row>
    <row r="53" spans="1:5" ht="21">
      <c r="A53" s="4" t="s">
        <v>79</v>
      </c>
      <c r="B53" s="4" t="s">
        <v>271</v>
      </c>
      <c r="D53" s="1" t="s">
        <v>177</v>
      </c>
      <c r="E53">
        <f t="shared" si="0"/>
        <v>7</v>
      </c>
    </row>
    <row r="54" spans="1:5" ht="21">
      <c r="A54" s="4" t="s">
        <v>80</v>
      </c>
      <c r="B54" s="4" t="s">
        <v>272</v>
      </c>
      <c r="D54" s="1"/>
      <c r="E54">
        <f t="shared" si="0"/>
        <v>9</v>
      </c>
    </row>
    <row r="55" spans="1:5" ht="21">
      <c r="A55" s="4" t="s">
        <v>81</v>
      </c>
      <c r="B55" s="4" t="s">
        <v>273</v>
      </c>
      <c r="D55" s="1"/>
      <c r="E55">
        <f t="shared" si="0"/>
        <v>9</v>
      </c>
    </row>
    <row r="56" spans="1:5" ht="31.5">
      <c r="A56" s="4" t="s">
        <v>82</v>
      </c>
      <c r="B56" s="4" t="s">
        <v>232</v>
      </c>
      <c r="D56" s="1"/>
      <c r="E56">
        <f t="shared" si="0"/>
        <v>9</v>
      </c>
    </row>
    <row r="57" spans="1:5" ht="21">
      <c r="A57" s="4" t="s">
        <v>83</v>
      </c>
      <c r="B57" s="4" t="s">
        <v>233</v>
      </c>
      <c r="D57" s="1" t="s">
        <v>178</v>
      </c>
      <c r="E57">
        <f t="shared" si="0"/>
        <v>5</v>
      </c>
    </row>
    <row r="58" spans="1:5">
      <c r="A58" s="4" t="s">
        <v>84</v>
      </c>
      <c r="B58" s="4" t="s">
        <v>274</v>
      </c>
      <c r="D58" s="1" t="s">
        <v>367</v>
      </c>
      <c r="E58">
        <f t="shared" si="0"/>
        <v>7</v>
      </c>
    </row>
    <row r="59" spans="1:5">
      <c r="A59" s="4" t="s">
        <v>85</v>
      </c>
      <c r="B59" s="4" t="s">
        <v>275</v>
      </c>
      <c r="D59" s="1" t="s">
        <v>179</v>
      </c>
      <c r="E59">
        <f t="shared" si="0"/>
        <v>7</v>
      </c>
    </row>
    <row r="60" spans="1:5" ht="21">
      <c r="A60" s="4" t="s">
        <v>86</v>
      </c>
      <c r="B60" s="4" t="s">
        <v>234</v>
      </c>
      <c r="D60" s="1" t="s">
        <v>180</v>
      </c>
      <c r="E60">
        <f t="shared" si="0"/>
        <v>3</v>
      </c>
    </row>
    <row r="61" spans="1:5" ht="21">
      <c r="A61" s="4" t="s">
        <v>87</v>
      </c>
      <c r="B61" s="4" t="s">
        <v>276</v>
      </c>
      <c r="D61" s="1" t="s">
        <v>181</v>
      </c>
      <c r="E61">
        <f t="shared" si="0"/>
        <v>5</v>
      </c>
    </row>
    <row r="62" spans="1:5" ht="21">
      <c r="A62" s="4" t="s">
        <v>88</v>
      </c>
      <c r="B62" s="4" t="s">
        <v>277</v>
      </c>
      <c r="D62" s="1" t="s">
        <v>182</v>
      </c>
      <c r="E62">
        <f t="shared" si="0"/>
        <v>5</v>
      </c>
    </row>
    <row r="63" spans="1:5">
      <c r="A63" s="4" t="s">
        <v>89</v>
      </c>
      <c r="B63" s="4" t="s">
        <v>278</v>
      </c>
      <c r="D63" s="1" t="s">
        <v>183</v>
      </c>
      <c r="E63">
        <f t="shared" si="0"/>
        <v>3</v>
      </c>
    </row>
    <row r="64" spans="1:5" ht="31.5">
      <c r="A64" s="4" t="s">
        <v>90</v>
      </c>
      <c r="B64" s="4" t="s">
        <v>235</v>
      </c>
      <c r="D64" s="1" t="s">
        <v>816</v>
      </c>
      <c r="E64">
        <f t="shared" si="0"/>
        <v>3</v>
      </c>
    </row>
    <row r="65" spans="1:5" ht="21">
      <c r="A65" s="4" t="s">
        <v>91</v>
      </c>
      <c r="B65" s="4" t="s">
        <v>236</v>
      </c>
      <c r="D65" s="1" t="s">
        <v>184</v>
      </c>
      <c r="E65">
        <f t="shared" si="0"/>
        <v>5</v>
      </c>
    </row>
    <row r="66" spans="1:5" ht="42">
      <c r="A66" s="4" t="s">
        <v>92</v>
      </c>
      <c r="B66" s="4" t="s">
        <v>279</v>
      </c>
      <c r="D66" s="1" t="s">
        <v>185</v>
      </c>
      <c r="E66">
        <f t="shared" si="0"/>
        <v>7</v>
      </c>
    </row>
    <row r="67" spans="1:5" ht="31.5">
      <c r="A67" s="4" t="s">
        <v>93</v>
      </c>
      <c r="B67" s="4" t="s">
        <v>280</v>
      </c>
      <c r="D67" s="1" t="s">
        <v>186</v>
      </c>
      <c r="E67">
        <f t="shared" si="0"/>
        <v>7</v>
      </c>
    </row>
    <row r="68" spans="1:5" ht="31.5">
      <c r="A68" s="4" t="s">
        <v>94</v>
      </c>
      <c r="B68" s="4" t="s">
        <v>281</v>
      </c>
      <c r="D68" s="1" t="s">
        <v>187</v>
      </c>
      <c r="E68">
        <f t="shared" si="0"/>
        <v>7</v>
      </c>
    </row>
    <row r="69" spans="1:5">
      <c r="A69" s="4" t="s">
        <v>95</v>
      </c>
      <c r="B69" s="4" t="s">
        <v>282</v>
      </c>
      <c r="D69" s="1" t="s">
        <v>188</v>
      </c>
      <c r="E69">
        <f t="shared" si="0"/>
        <v>5</v>
      </c>
    </row>
    <row r="70" spans="1:5" ht="31.5">
      <c r="A70" s="4" t="s">
        <v>96</v>
      </c>
      <c r="B70" s="4" t="s">
        <v>237</v>
      </c>
      <c r="D70" s="1" t="s">
        <v>189</v>
      </c>
      <c r="E70">
        <f t="shared" ref="E70:E109" si="1">FIND("C",A70)</f>
        <v>3</v>
      </c>
    </row>
    <row r="71" spans="1:5" ht="21">
      <c r="A71" s="4" t="s">
        <v>97</v>
      </c>
      <c r="B71" s="4" t="s">
        <v>238</v>
      </c>
      <c r="D71" s="1" t="s">
        <v>671</v>
      </c>
      <c r="E71">
        <f t="shared" si="1"/>
        <v>5</v>
      </c>
    </row>
    <row r="72" spans="1:5" ht="21">
      <c r="A72" s="4" t="s">
        <v>98</v>
      </c>
      <c r="B72" s="4" t="s">
        <v>283</v>
      </c>
      <c r="D72" s="1" t="s">
        <v>190</v>
      </c>
      <c r="E72">
        <f t="shared" si="1"/>
        <v>7</v>
      </c>
    </row>
    <row r="73" spans="1:5">
      <c r="A73" s="4" t="s">
        <v>99</v>
      </c>
      <c r="B73" s="4" t="s">
        <v>284</v>
      </c>
      <c r="D73" s="1" t="s">
        <v>191</v>
      </c>
      <c r="E73">
        <f t="shared" si="1"/>
        <v>7</v>
      </c>
    </row>
    <row r="74" spans="1:5">
      <c r="A74" s="4" t="s">
        <v>100</v>
      </c>
      <c r="B74" s="4" t="s">
        <v>285</v>
      </c>
      <c r="D74" s="1" t="s">
        <v>192</v>
      </c>
      <c r="E74">
        <f t="shared" si="1"/>
        <v>7</v>
      </c>
    </row>
    <row r="75" spans="1:5" ht="21">
      <c r="A75" s="4" t="s">
        <v>101</v>
      </c>
      <c r="B75" s="4" t="s">
        <v>286</v>
      </c>
      <c r="D75" s="1" t="s">
        <v>193</v>
      </c>
      <c r="E75">
        <f t="shared" si="1"/>
        <v>7</v>
      </c>
    </row>
    <row r="76" spans="1:5" ht="21">
      <c r="A76" s="4" t="s">
        <v>102</v>
      </c>
      <c r="B76" s="4" t="s">
        <v>287</v>
      </c>
      <c r="D76" s="1" t="s">
        <v>194</v>
      </c>
      <c r="E76">
        <f t="shared" si="1"/>
        <v>5</v>
      </c>
    </row>
    <row r="77" spans="1:5" ht="31.5">
      <c r="A77" s="4" t="s">
        <v>103</v>
      </c>
      <c r="B77" s="4" t="s">
        <v>239</v>
      </c>
      <c r="D77" s="1" t="s">
        <v>817</v>
      </c>
      <c r="E77">
        <f t="shared" si="1"/>
        <v>3</v>
      </c>
    </row>
    <row r="78" spans="1:5" ht="21">
      <c r="A78" s="4" t="s">
        <v>104</v>
      </c>
      <c r="B78" s="4" t="s">
        <v>240</v>
      </c>
      <c r="D78" s="1" t="s">
        <v>195</v>
      </c>
      <c r="E78">
        <f t="shared" si="1"/>
        <v>5</v>
      </c>
    </row>
    <row r="79" spans="1:5" ht="31.5">
      <c r="A79" s="4" t="s">
        <v>105</v>
      </c>
      <c r="B79" s="4" t="s">
        <v>288</v>
      </c>
      <c r="D79" s="1" t="s">
        <v>196</v>
      </c>
      <c r="E79">
        <f t="shared" si="1"/>
        <v>7</v>
      </c>
    </row>
    <row r="80" spans="1:5" ht="31.5">
      <c r="A80" s="4" t="s">
        <v>106</v>
      </c>
      <c r="B80" s="4" t="s">
        <v>289</v>
      </c>
      <c r="D80" s="1" t="s">
        <v>197</v>
      </c>
      <c r="E80">
        <f t="shared" si="1"/>
        <v>7</v>
      </c>
    </row>
    <row r="81" spans="1:5" ht="21">
      <c r="A81" s="4" t="s">
        <v>107</v>
      </c>
      <c r="B81" s="4" t="s">
        <v>290</v>
      </c>
      <c r="D81" s="1" t="s">
        <v>198</v>
      </c>
      <c r="E81">
        <f t="shared" si="1"/>
        <v>7</v>
      </c>
    </row>
    <row r="82" spans="1:5" ht="21">
      <c r="A82" s="4" t="s">
        <v>108</v>
      </c>
      <c r="B82" s="4" t="s">
        <v>241</v>
      </c>
      <c r="D82" s="1" t="s">
        <v>199</v>
      </c>
      <c r="E82">
        <f t="shared" si="1"/>
        <v>5</v>
      </c>
    </row>
    <row r="83" spans="1:5">
      <c r="A83" s="4" t="s">
        <v>109</v>
      </c>
      <c r="B83" s="4" t="s">
        <v>291</v>
      </c>
      <c r="D83" s="1" t="s">
        <v>200</v>
      </c>
      <c r="E83">
        <f t="shared" si="1"/>
        <v>7</v>
      </c>
    </row>
    <row r="84" spans="1:5" ht="31.5">
      <c r="A84" s="4" t="s">
        <v>110</v>
      </c>
      <c r="B84" s="4" t="s">
        <v>242</v>
      </c>
      <c r="D84" s="1" t="s">
        <v>213</v>
      </c>
      <c r="E84">
        <f t="shared" si="1"/>
        <v>7</v>
      </c>
    </row>
    <row r="85" spans="1:5" ht="21">
      <c r="A85" s="4" t="s">
        <v>111</v>
      </c>
      <c r="B85" s="4" t="s">
        <v>292</v>
      </c>
      <c r="D85" s="1" t="s">
        <v>201</v>
      </c>
      <c r="E85">
        <f t="shared" si="1"/>
        <v>9</v>
      </c>
    </row>
    <row r="86" spans="1:5" ht="21">
      <c r="A86" s="4" t="s">
        <v>112</v>
      </c>
      <c r="B86" s="4" t="s">
        <v>293</v>
      </c>
      <c r="D86" s="1" t="s">
        <v>202</v>
      </c>
      <c r="E86">
        <f t="shared" si="1"/>
        <v>9</v>
      </c>
    </row>
    <row r="87" spans="1:5" ht="21">
      <c r="A87" s="4" t="s">
        <v>113</v>
      </c>
      <c r="B87" s="4" t="s">
        <v>294</v>
      </c>
      <c r="D87" s="1" t="s">
        <v>203</v>
      </c>
      <c r="E87">
        <f t="shared" si="1"/>
        <v>9</v>
      </c>
    </row>
    <row r="88" spans="1:5" ht="21">
      <c r="A88" s="4" t="s">
        <v>114</v>
      </c>
      <c r="B88" s="4" t="s">
        <v>295</v>
      </c>
      <c r="D88" s="1" t="s">
        <v>204</v>
      </c>
      <c r="E88">
        <f t="shared" si="1"/>
        <v>9</v>
      </c>
    </row>
    <row r="89" spans="1:5" ht="31.5">
      <c r="A89" s="4" t="s">
        <v>115</v>
      </c>
      <c r="B89" s="4" t="s">
        <v>243</v>
      </c>
      <c r="D89" s="1" t="s">
        <v>1043</v>
      </c>
      <c r="E89">
        <f t="shared" si="1"/>
        <v>3</v>
      </c>
    </row>
    <row r="90" spans="1:5" ht="31.5">
      <c r="A90" s="4" t="s">
        <v>116</v>
      </c>
      <c r="B90" s="4" t="s">
        <v>296</v>
      </c>
      <c r="D90" s="1" t="s">
        <v>999</v>
      </c>
      <c r="E90">
        <f t="shared" si="1"/>
        <v>5</v>
      </c>
    </row>
    <row r="91" spans="1:5">
      <c r="A91" s="4" t="s">
        <v>117</v>
      </c>
      <c r="B91" s="4" t="s">
        <v>297</v>
      </c>
      <c r="D91" s="1" t="s">
        <v>205</v>
      </c>
      <c r="E91">
        <f t="shared" si="1"/>
        <v>5</v>
      </c>
    </row>
    <row r="92" spans="1:5">
      <c r="A92" s="4" t="s">
        <v>118</v>
      </c>
      <c r="B92" s="4" t="s">
        <v>298</v>
      </c>
      <c r="D92" s="1" t="s">
        <v>206</v>
      </c>
      <c r="E92">
        <f t="shared" si="1"/>
        <v>5</v>
      </c>
    </row>
    <row r="93" spans="1:5" ht="21">
      <c r="A93" s="4" t="s">
        <v>119</v>
      </c>
      <c r="B93" s="4" t="s">
        <v>244</v>
      </c>
      <c r="D93" s="1" t="s">
        <v>207</v>
      </c>
      <c r="E93">
        <f t="shared" si="1"/>
        <v>5</v>
      </c>
    </row>
    <row r="94" spans="1:5" ht="31.5">
      <c r="A94" s="4" t="s">
        <v>120</v>
      </c>
      <c r="B94" s="4" t="s">
        <v>299</v>
      </c>
      <c r="D94" s="1" t="s">
        <v>208</v>
      </c>
      <c r="E94">
        <f t="shared" si="1"/>
        <v>7</v>
      </c>
    </row>
    <row r="95" spans="1:5" ht="31.5">
      <c r="A95" s="4" t="s">
        <v>121</v>
      </c>
      <c r="B95" s="4" t="s">
        <v>300</v>
      </c>
      <c r="D95" s="1" t="s">
        <v>209</v>
      </c>
      <c r="E95">
        <f t="shared" si="1"/>
        <v>7</v>
      </c>
    </row>
    <row r="96" spans="1:5" ht="21">
      <c r="A96" s="4" t="s">
        <v>122</v>
      </c>
      <c r="B96" s="4" t="s">
        <v>301</v>
      </c>
      <c r="D96" s="1" t="s">
        <v>210</v>
      </c>
      <c r="E96">
        <f t="shared" si="1"/>
        <v>7</v>
      </c>
    </row>
    <row r="97" spans="1:5" ht="21">
      <c r="A97" s="4" t="s">
        <v>123</v>
      </c>
      <c r="B97" s="4" t="s">
        <v>302</v>
      </c>
      <c r="D97" s="1" t="s">
        <v>211</v>
      </c>
      <c r="E97">
        <f t="shared" si="1"/>
        <v>7</v>
      </c>
    </row>
    <row r="98" spans="1:5" ht="21">
      <c r="A98" s="4" t="s">
        <v>124</v>
      </c>
      <c r="B98" s="4" t="s">
        <v>303</v>
      </c>
      <c r="D98" s="8" t="s">
        <v>212</v>
      </c>
      <c r="E98">
        <f t="shared" si="1"/>
        <v>5</v>
      </c>
    </row>
    <row r="99" spans="1:5" ht="21">
      <c r="A99" s="4" t="s">
        <v>125</v>
      </c>
      <c r="B99" s="4" t="s">
        <v>245</v>
      </c>
      <c r="E99">
        <f t="shared" si="1"/>
        <v>1</v>
      </c>
    </row>
    <row r="100" spans="1:5" ht="31.5">
      <c r="A100" s="4" t="s">
        <v>126</v>
      </c>
      <c r="B100" s="4" t="s">
        <v>246</v>
      </c>
      <c r="E100">
        <f t="shared" si="1"/>
        <v>1</v>
      </c>
    </row>
    <row r="101" spans="1:5">
      <c r="A101" s="4" t="s">
        <v>127</v>
      </c>
      <c r="B101" s="4" t="s">
        <v>247</v>
      </c>
      <c r="E101">
        <f t="shared" si="1"/>
        <v>1</v>
      </c>
    </row>
    <row r="102" spans="1:5" ht="21">
      <c r="A102" s="4" t="s">
        <v>128</v>
      </c>
      <c r="B102" s="4" t="s">
        <v>248</v>
      </c>
      <c r="E102">
        <f t="shared" si="1"/>
        <v>1</v>
      </c>
    </row>
    <row r="103" spans="1:5" ht="31.5">
      <c r="A103" s="4" t="s">
        <v>129</v>
      </c>
      <c r="B103" s="4" t="s">
        <v>249</v>
      </c>
      <c r="E103">
        <f t="shared" si="1"/>
        <v>1</v>
      </c>
    </row>
    <row r="104" spans="1:5" ht="31.5">
      <c r="A104" s="4" t="s">
        <v>130</v>
      </c>
      <c r="B104" s="4" t="s">
        <v>250</v>
      </c>
      <c r="E104">
        <f t="shared" si="1"/>
        <v>1</v>
      </c>
    </row>
    <row r="105" spans="1:5" ht="21">
      <c r="A105" s="4" t="s">
        <v>131</v>
      </c>
      <c r="B105" s="4" t="s">
        <v>251</v>
      </c>
      <c r="E105">
        <f t="shared" si="1"/>
        <v>5</v>
      </c>
    </row>
    <row r="106" spans="1:5" ht="21">
      <c r="A106" s="4" t="s">
        <v>132</v>
      </c>
      <c r="B106" s="4" t="s">
        <v>252</v>
      </c>
      <c r="E106">
        <f t="shared" si="1"/>
        <v>5</v>
      </c>
    </row>
    <row r="107" spans="1:5" ht="21">
      <c r="A107" s="4" t="s">
        <v>133</v>
      </c>
      <c r="B107" s="4" t="s">
        <v>253</v>
      </c>
      <c r="E107">
        <f t="shared" si="1"/>
        <v>5</v>
      </c>
    </row>
    <row r="108" spans="1:5" ht="21">
      <c r="A108" s="4" t="s">
        <v>134</v>
      </c>
      <c r="B108" s="4" t="s">
        <v>254</v>
      </c>
      <c r="E108">
        <f t="shared" si="1"/>
        <v>5</v>
      </c>
    </row>
    <row r="109" spans="1:5" ht="21">
      <c r="A109" s="4" t="s">
        <v>135</v>
      </c>
      <c r="B109" s="4" t="s">
        <v>255</v>
      </c>
      <c r="E109">
        <f t="shared" si="1"/>
        <v>6</v>
      </c>
    </row>
    <row r="110" spans="1:5" ht="21">
      <c r="A110" s="4" t="s">
        <v>136</v>
      </c>
      <c r="B110" s="4" t="s">
        <v>256</v>
      </c>
      <c r="E110">
        <v>9</v>
      </c>
    </row>
    <row r="111" spans="1:5">
      <c r="A111" s="5" t="s">
        <v>137</v>
      </c>
      <c r="B111" s="5" t="s">
        <v>304</v>
      </c>
    </row>
    <row r="112" spans="1:5">
      <c r="A112" s="6"/>
      <c r="B112" s="6"/>
    </row>
    <row r="113" spans="1:4">
      <c r="A113" s="7"/>
      <c r="B113" s="7"/>
      <c r="D113"/>
    </row>
    <row r="114" spans="1:4">
      <c r="A114" s="7"/>
      <c r="B114" s="7"/>
      <c r="D114"/>
    </row>
  </sheetData>
  <hyperlinks>
    <hyperlink ref="A111" r:id="rId1" tooltip="Click once to display linked information. Click and hold to select this cell." display="http://stats.oecd.org/"/>
    <hyperlink ref="B111" r:id="rId2" tooltip="Click once to display linked information. Click and hold to select this cell." display="http://stats.oecd.org/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114"/>
  <sheetViews>
    <sheetView topLeftCell="B74" workbookViewId="0">
      <selection activeCell="E110" sqref="E110"/>
    </sheetView>
  </sheetViews>
  <sheetFormatPr defaultRowHeight="15"/>
  <cols>
    <col min="1" max="1" width="26.7109375" hidden="1" customWidth="1"/>
    <col min="2" max="2" width="26.7109375" customWidth="1"/>
    <col min="3" max="3" width="0" hidden="1" customWidth="1"/>
    <col min="4" max="4" width="42.85546875" style="8" customWidth="1"/>
  </cols>
  <sheetData>
    <row r="1" spans="1:5">
      <c r="A1" s="3"/>
      <c r="B1" s="3"/>
    </row>
    <row r="2" spans="1:5">
      <c r="A2" s="3"/>
      <c r="B2" s="3"/>
    </row>
    <row r="3" spans="1:5">
      <c r="A3" s="3"/>
      <c r="B3" s="3"/>
    </row>
    <row r="4" spans="1:5">
      <c r="A4" s="3" t="s">
        <v>305</v>
      </c>
      <c r="B4" s="3" t="s">
        <v>305</v>
      </c>
      <c r="D4" s="2" t="s">
        <v>308</v>
      </c>
    </row>
    <row r="5" spans="1:5">
      <c r="A5" s="4" t="s">
        <v>31</v>
      </c>
      <c r="B5" s="4" t="s">
        <v>214</v>
      </c>
      <c r="D5" s="1" t="s">
        <v>138</v>
      </c>
      <c r="E5">
        <f>FIND("C",A5)</f>
        <v>1</v>
      </c>
    </row>
    <row r="6" spans="1:5" ht="31.5">
      <c r="A6" s="4" t="s">
        <v>32</v>
      </c>
      <c r="B6" s="4" t="s">
        <v>215</v>
      </c>
      <c r="D6" s="1" t="s">
        <v>660</v>
      </c>
      <c r="E6">
        <f t="shared" ref="E6:E69" si="0">FIND("C",A6)</f>
        <v>3</v>
      </c>
    </row>
    <row r="7" spans="1:5" ht="21">
      <c r="A7" s="4" t="s">
        <v>33</v>
      </c>
      <c r="B7" s="4" t="s">
        <v>216</v>
      </c>
      <c r="D7" s="1" t="s">
        <v>139</v>
      </c>
      <c r="E7">
        <f t="shared" si="0"/>
        <v>5</v>
      </c>
    </row>
    <row r="8" spans="1:5" ht="21">
      <c r="A8" s="4" t="s">
        <v>34</v>
      </c>
      <c r="B8" s="4" t="s">
        <v>257</v>
      </c>
      <c r="D8" s="1" t="s">
        <v>140</v>
      </c>
      <c r="E8">
        <f t="shared" si="0"/>
        <v>7</v>
      </c>
    </row>
    <row r="9" spans="1:5" ht="21">
      <c r="A9" s="4" t="s">
        <v>35</v>
      </c>
      <c r="B9" s="4" t="s">
        <v>258</v>
      </c>
      <c r="D9" s="1" t="s">
        <v>141</v>
      </c>
      <c r="E9">
        <f t="shared" si="0"/>
        <v>7</v>
      </c>
    </row>
    <row r="10" spans="1:5" ht="31.5">
      <c r="A10" s="4" t="s">
        <v>36</v>
      </c>
      <c r="B10" s="4" t="s">
        <v>259</v>
      </c>
      <c r="D10" s="1" t="s">
        <v>142</v>
      </c>
      <c r="E10">
        <f t="shared" si="0"/>
        <v>5</v>
      </c>
    </row>
    <row r="11" spans="1:5" ht="21">
      <c r="A11" s="4" t="s">
        <v>37</v>
      </c>
      <c r="B11" s="4" t="s">
        <v>217</v>
      </c>
      <c r="D11" s="1" t="s">
        <v>813</v>
      </c>
      <c r="E11">
        <f t="shared" si="0"/>
        <v>3</v>
      </c>
    </row>
    <row r="12" spans="1:5" ht="31.5">
      <c r="A12" s="4" t="s">
        <v>38</v>
      </c>
      <c r="B12" s="4" t="s">
        <v>218</v>
      </c>
      <c r="D12" s="1" t="s">
        <v>143</v>
      </c>
      <c r="E12">
        <f t="shared" si="0"/>
        <v>5</v>
      </c>
    </row>
    <row r="13" spans="1:5" ht="21">
      <c r="A13" s="4" t="s">
        <v>39</v>
      </c>
      <c r="B13" s="4" t="s">
        <v>260</v>
      </c>
      <c r="D13" s="1" t="s">
        <v>144</v>
      </c>
      <c r="E13">
        <f t="shared" si="0"/>
        <v>7</v>
      </c>
    </row>
    <row r="14" spans="1:5" ht="31.5">
      <c r="A14" s="4" t="s">
        <v>40</v>
      </c>
      <c r="B14" s="4" t="s">
        <v>261</v>
      </c>
      <c r="D14" s="1" t="s">
        <v>145</v>
      </c>
      <c r="E14">
        <f t="shared" si="0"/>
        <v>7</v>
      </c>
    </row>
    <row r="15" spans="1:5" ht="21">
      <c r="A15" s="4" t="s">
        <v>41</v>
      </c>
      <c r="B15" s="4" t="s">
        <v>262</v>
      </c>
      <c r="D15" s="1" t="s">
        <v>146</v>
      </c>
      <c r="E15">
        <f t="shared" si="0"/>
        <v>7</v>
      </c>
    </row>
    <row r="16" spans="1:5" ht="31.5">
      <c r="A16" s="4" t="s">
        <v>42</v>
      </c>
      <c r="B16" s="4" t="s">
        <v>219</v>
      </c>
      <c r="D16" s="1" t="s">
        <v>147</v>
      </c>
      <c r="E16">
        <f t="shared" si="0"/>
        <v>5</v>
      </c>
    </row>
    <row r="17" spans="1:5">
      <c r="A17" s="4" t="s">
        <v>43</v>
      </c>
      <c r="B17" s="4" t="s">
        <v>263</v>
      </c>
      <c r="D17" s="1" t="s">
        <v>148</v>
      </c>
      <c r="E17">
        <f t="shared" si="0"/>
        <v>7</v>
      </c>
    </row>
    <row r="18" spans="1:5" ht="21">
      <c r="A18" s="4" t="s">
        <v>44</v>
      </c>
      <c r="B18" s="4" t="s">
        <v>264</v>
      </c>
      <c r="D18" s="1" t="s">
        <v>149</v>
      </c>
      <c r="E18">
        <f t="shared" si="0"/>
        <v>7</v>
      </c>
    </row>
    <row r="19" spans="1:5">
      <c r="A19" s="4" t="s">
        <v>45</v>
      </c>
      <c r="B19" s="4" t="s">
        <v>220</v>
      </c>
      <c r="D19" s="1" t="s">
        <v>150</v>
      </c>
      <c r="E19">
        <f t="shared" si="0"/>
        <v>3</v>
      </c>
    </row>
    <row r="20" spans="1:5" ht="21">
      <c r="A20" s="4" t="s">
        <v>46</v>
      </c>
      <c r="B20" s="4" t="s">
        <v>221</v>
      </c>
      <c r="D20" s="1" t="s">
        <v>151</v>
      </c>
      <c r="E20">
        <f t="shared" si="0"/>
        <v>5</v>
      </c>
    </row>
    <row r="21" spans="1:5" ht="21">
      <c r="A21" s="4" t="s">
        <v>47</v>
      </c>
      <c r="B21" s="4" t="s">
        <v>265</v>
      </c>
      <c r="D21" s="1" t="s">
        <v>152</v>
      </c>
      <c r="E21">
        <f t="shared" si="0"/>
        <v>7</v>
      </c>
    </row>
    <row r="22" spans="1:5">
      <c r="A22" s="4" t="s">
        <v>48</v>
      </c>
      <c r="B22" s="4" t="s">
        <v>14</v>
      </c>
      <c r="D22" s="1" t="s">
        <v>153</v>
      </c>
      <c r="E22">
        <f t="shared" si="0"/>
        <v>7</v>
      </c>
    </row>
    <row r="23" spans="1:5" ht="21">
      <c r="A23" s="4" t="s">
        <v>49</v>
      </c>
      <c r="B23" s="4" t="s">
        <v>222</v>
      </c>
      <c r="D23" s="1" t="s">
        <v>814</v>
      </c>
      <c r="E23">
        <f t="shared" si="0"/>
        <v>5</v>
      </c>
    </row>
    <row r="24" spans="1:5" ht="21">
      <c r="A24" s="4" t="s">
        <v>50</v>
      </c>
      <c r="B24" s="4" t="s">
        <v>223</v>
      </c>
      <c r="D24" s="1" t="s">
        <v>154</v>
      </c>
      <c r="E24">
        <f t="shared" si="0"/>
        <v>7</v>
      </c>
    </row>
    <row r="25" spans="1:5">
      <c r="A25" s="4" t="s">
        <v>51</v>
      </c>
      <c r="B25" s="4" t="s">
        <v>15</v>
      </c>
      <c r="D25" s="1" t="s">
        <v>155</v>
      </c>
      <c r="E25">
        <f t="shared" si="0"/>
        <v>9</v>
      </c>
    </row>
    <row r="26" spans="1:5" ht="21">
      <c r="A26" s="4" t="s">
        <v>52</v>
      </c>
      <c r="B26" s="4" t="s">
        <v>16</v>
      </c>
      <c r="D26" s="1" t="s">
        <v>156</v>
      </c>
      <c r="E26">
        <f t="shared" si="0"/>
        <v>9</v>
      </c>
    </row>
    <row r="27" spans="1:5" ht="21">
      <c r="A27" s="4" t="s">
        <v>53</v>
      </c>
      <c r="B27" s="4" t="s">
        <v>17</v>
      </c>
      <c r="D27" s="1" t="s">
        <v>157</v>
      </c>
      <c r="E27">
        <f t="shared" si="0"/>
        <v>7</v>
      </c>
    </row>
    <row r="28" spans="1:5" ht="21">
      <c r="A28" s="4" t="s">
        <v>54</v>
      </c>
      <c r="B28" s="4" t="s">
        <v>18</v>
      </c>
      <c r="D28" s="1" t="s">
        <v>158</v>
      </c>
      <c r="E28">
        <f t="shared" si="0"/>
        <v>5</v>
      </c>
    </row>
    <row r="29" spans="1:5" ht="31.5">
      <c r="A29" s="4" t="s">
        <v>55</v>
      </c>
      <c r="B29" s="4" t="s">
        <v>224</v>
      </c>
      <c r="D29" s="1" t="s">
        <v>159</v>
      </c>
      <c r="E29">
        <f t="shared" si="0"/>
        <v>5</v>
      </c>
    </row>
    <row r="30" spans="1:5" ht="21">
      <c r="A30" s="4" t="s">
        <v>56</v>
      </c>
      <c r="B30" s="4" t="s">
        <v>19</v>
      </c>
      <c r="D30" s="1" t="s">
        <v>160</v>
      </c>
      <c r="E30">
        <f t="shared" si="0"/>
        <v>7</v>
      </c>
    </row>
    <row r="31" spans="1:5" ht="21">
      <c r="A31" s="4" t="s">
        <v>57</v>
      </c>
      <c r="B31" s="4" t="s">
        <v>20</v>
      </c>
      <c r="D31" s="1" t="s">
        <v>161</v>
      </c>
      <c r="E31">
        <f t="shared" si="0"/>
        <v>7</v>
      </c>
    </row>
    <row r="32" spans="1:5" ht="21">
      <c r="A32" s="4" t="s">
        <v>58</v>
      </c>
      <c r="B32" s="4" t="s">
        <v>225</v>
      </c>
      <c r="D32" s="1" t="s">
        <v>815</v>
      </c>
      <c r="E32">
        <f t="shared" si="0"/>
        <v>5</v>
      </c>
    </row>
    <row r="33" spans="1:5" ht="31.5">
      <c r="A33" s="4" t="s">
        <v>59</v>
      </c>
      <c r="B33" s="4" t="s">
        <v>21</v>
      </c>
      <c r="D33" s="1" t="s">
        <v>162</v>
      </c>
      <c r="E33">
        <f t="shared" si="0"/>
        <v>7</v>
      </c>
    </row>
    <row r="34" spans="1:5" ht="21">
      <c r="A34" s="4" t="s">
        <v>60</v>
      </c>
      <c r="B34" s="4" t="s">
        <v>22</v>
      </c>
      <c r="D34" s="1" t="s">
        <v>163</v>
      </c>
      <c r="E34">
        <f t="shared" si="0"/>
        <v>7</v>
      </c>
    </row>
    <row r="35" spans="1:5" ht="21">
      <c r="A35" s="4" t="s">
        <v>61</v>
      </c>
      <c r="B35" s="4" t="s">
        <v>266</v>
      </c>
      <c r="D35" s="1"/>
      <c r="E35">
        <f t="shared" si="0"/>
        <v>9</v>
      </c>
    </row>
    <row r="36" spans="1:5">
      <c r="A36" s="4" t="s">
        <v>62</v>
      </c>
      <c r="B36" s="4" t="s">
        <v>267</v>
      </c>
      <c r="D36" s="1"/>
      <c r="E36">
        <f t="shared" si="0"/>
        <v>9</v>
      </c>
    </row>
    <row r="37" spans="1:5" ht="21">
      <c r="A37" s="4" t="s">
        <v>63</v>
      </c>
      <c r="B37" s="4" t="s">
        <v>23</v>
      </c>
      <c r="D37" s="1" t="s">
        <v>164</v>
      </c>
      <c r="E37">
        <f t="shared" si="0"/>
        <v>7</v>
      </c>
    </row>
    <row r="38" spans="1:5" ht="21">
      <c r="A38" s="4" t="s">
        <v>64</v>
      </c>
      <c r="B38" s="4" t="s">
        <v>24</v>
      </c>
      <c r="D38" s="1" t="s">
        <v>165</v>
      </c>
      <c r="E38">
        <f t="shared" si="0"/>
        <v>5</v>
      </c>
    </row>
    <row r="39" spans="1:5" ht="21">
      <c r="A39" s="4" t="s">
        <v>65</v>
      </c>
      <c r="B39" s="4" t="s">
        <v>226</v>
      </c>
      <c r="D39" s="1" t="s">
        <v>166</v>
      </c>
      <c r="E39">
        <f t="shared" si="0"/>
        <v>5</v>
      </c>
    </row>
    <row r="40" spans="1:5">
      <c r="A40" s="4" t="s">
        <v>66</v>
      </c>
      <c r="B40" s="4" t="s">
        <v>25</v>
      </c>
      <c r="D40" s="1" t="s">
        <v>167</v>
      </c>
      <c r="E40">
        <f t="shared" si="0"/>
        <v>7</v>
      </c>
    </row>
    <row r="41" spans="1:5">
      <c r="A41" s="4" t="s">
        <v>67</v>
      </c>
      <c r="B41" s="4" t="s">
        <v>227</v>
      </c>
      <c r="D41" s="1" t="s">
        <v>438</v>
      </c>
      <c r="E41">
        <f t="shared" si="0"/>
        <v>9</v>
      </c>
    </row>
    <row r="42" spans="1:5" ht="21">
      <c r="A42" s="4" t="s">
        <v>68</v>
      </c>
      <c r="B42" s="4" t="s">
        <v>228</v>
      </c>
      <c r="D42" s="1" t="s">
        <v>1041</v>
      </c>
      <c r="E42">
        <f t="shared" si="0"/>
        <v>9</v>
      </c>
    </row>
    <row r="43" spans="1:5" ht="31.5">
      <c r="A43" s="4" t="s">
        <v>69</v>
      </c>
      <c r="B43" s="4" t="s">
        <v>26</v>
      </c>
      <c r="D43" s="1" t="s">
        <v>168</v>
      </c>
      <c r="E43">
        <f t="shared" si="0"/>
        <v>7</v>
      </c>
    </row>
    <row r="44" spans="1:5" ht="21">
      <c r="A44" s="4" t="s">
        <v>70</v>
      </c>
      <c r="B44" s="4" t="s">
        <v>229</v>
      </c>
      <c r="D44" s="1" t="s">
        <v>667</v>
      </c>
      <c r="E44">
        <f t="shared" si="0"/>
        <v>5</v>
      </c>
    </row>
    <row r="45" spans="1:5" ht="21">
      <c r="A45" s="4" t="s">
        <v>71</v>
      </c>
      <c r="B45" s="4" t="s">
        <v>27</v>
      </c>
      <c r="D45" s="1" t="s">
        <v>169</v>
      </c>
      <c r="E45">
        <f t="shared" si="0"/>
        <v>7</v>
      </c>
    </row>
    <row r="46" spans="1:5" ht="21">
      <c r="A46" s="4" t="s">
        <v>72</v>
      </c>
      <c r="B46" s="4" t="s">
        <v>230</v>
      </c>
      <c r="D46" s="1" t="s">
        <v>170</v>
      </c>
      <c r="E46">
        <f t="shared" si="0"/>
        <v>7</v>
      </c>
    </row>
    <row r="47" spans="1:5" ht="21">
      <c r="A47" s="4" t="s">
        <v>73</v>
      </c>
      <c r="B47" s="4" t="s">
        <v>28</v>
      </c>
      <c r="D47" s="1" t="s">
        <v>171</v>
      </c>
      <c r="E47">
        <f t="shared" si="0"/>
        <v>9</v>
      </c>
    </row>
    <row r="48" spans="1:5" ht="21">
      <c r="A48" s="4" t="s">
        <v>74</v>
      </c>
      <c r="B48" s="4" t="s">
        <v>268</v>
      </c>
      <c r="D48" s="1" t="s">
        <v>172</v>
      </c>
      <c r="E48">
        <f t="shared" si="0"/>
        <v>9</v>
      </c>
    </row>
    <row r="49" spans="1:5" ht="21">
      <c r="A49" s="4" t="s">
        <v>75</v>
      </c>
      <c r="B49" s="4" t="s">
        <v>269</v>
      </c>
      <c r="D49" s="1" t="s">
        <v>173</v>
      </c>
      <c r="E49">
        <f t="shared" si="0"/>
        <v>9</v>
      </c>
    </row>
    <row r="50" spans="1:5" ht="21">
      <c r="A50" s="4" t="s">
        <v>76</v>
      </c>
      <c r="B50" s="4" t="s">
        <v>29</v>
      </c>
      <c r="D50" s="1" t="s">
        <v>174</v>
      </c>
      <c r="E50">
        <f t="shared" si="0"/>
        <v>9</v>
      </c>
    </row>
    <row r="51" spans="1:5" ht="21">
      <c r="A51" s="4" t="s">
        <v>77</v>
      </c>
      <c r="B51" s="4" t="s">
        <v>231</v>
      </c>
      <c r="D51" s="1" t="s">
        <v>175</v>
      </c>
      <c r="E51">
        <f t="shared" si="0"/>
        <v>5</v>
      </c>
    </row>
    <row r="52" spans="1:5" ht="21">
      <c r="A52" s="4" t="s">
        <v>78</v>
      </c>
      <c r="B52" s="4" t="s">
        <v>270</v>
      </c>
      <c r="D52" s="1" t="s">
        <v>176</v>
      </c>
      <c r="E52">
        <f t="shared" si="0"/>
        <v>7</v>
      </c>
    </row>
    <row r="53" spans="1:5" ht="21">
      <c r="A53" s="4" t="s">
        <v>79</v>
      </c>
      <c r="B53" s="4" t="s">
        <v>271</v>
      </c>
      <c r="D53" s="1" t="s">
        <v>177</v>
      </c>
      <c r="E53">
        <f t="shared" si="0"/>
        <v>7</v>
      </c>
    </row>
    <row r="54" spans="1:5" ht="21">
      <c r="A54" s="4" t="s">
        <v>80</v>
      </c>
      <c r="B54" s="4" t="s">
        <v>272</v>
      </c>
      <c r="D54" s="1"/>
      <c r="E54">
        <f t="shared" si="0"/>
        <v>9</v>
      </c>
    </row>
    <row r="55" spans="1:5" ht="21">
      <c r="A55" s="4" t="s">
        <v>81</v>
      </c>
      <c r="B55" s="4" t="s">
        <v>273</v>
      </c>
      <c r="D55" s="1"/>
      <c r="E55">
        <f t="shared" si="0"/>
        <v>9</v>
      </c>
    </row>
    <row r="56" spans="1:5" ht="31.5">
      <c r="A56" s="4" t="s">
        <v>82</v>
      </c>
      <c r="B56" s="4" t="s">
        <v>232</v>
      </c>
      <c r="D56" s="1"/>
      <c r="E56">
        <f t="shared" si="0"/>
        <v>9</v>
      </c>
    </row>
    <row r="57" spans="1:5" ht="21">
      <c r="A57" s="4" t="s">
        <v>83</v>
      </c>
      <c r="B57" s="4" t="s">
        <v>233</v>
      </c>
      <c r="D57" s="1" t="s">
        <v>178</v>
      </c>
      <c r="E57">
        <f t="shared" si="0"/>
        <v>5</v>
      </c>
    </row>
    <row r="58" spans="1:5">
      <c r="A58" s="4" t="s">
        <v>84</v>
      </c>
      <c r="B58" s="4" t="s">
        <v>274</v>
      </c>
      <c r="D58" s="1" t="s">
        <v>367</v>
      </c>
      <c r="E58">
        <f t="shared" si="0"/>
        <v>7</v>
      </c>
    </row>
    <row r="59" spans="1:5">
      <c r="A59" s="4" t="s">
        <v>85</v>
      </c>
      <c r="B59" s="4" t="s">
        <v>275</v>
      </c>
      <c r="D59" s="1" t="s">
        <v>179</v>
      </c>
      <c r="E59">
        <f t="shared" si="0"/>
        <v>7</v>
      </c>
    </row>
    <row r="60" spans="1:5" ht="21">
      <c r="A60" s="4" t="s">
        <v>86</v>
      </c>
      <c r="B60" s="4" t="s">
        <v>234</v>
      </c>
      <c r="D60" s="1" t="s">
        <v>180</v>
      </c>
      <c r="E60">
        <f t="shared" si="0"/>
        <v>3</v>
      </c>
    </row>
    <row r="61" spans="1:5" ht="21">
      <c r="A61" s="4" t="s">
        <v>87</v>
      </c>
      <c r="B61" s="4" t="s">
        <v>276</v>
      </c>
      <c r="D61" s="1" t="s">
        <v>181</v>
      </c>
      <c r="E61">
        <f t="shared" si="0"/>
        <v>5</v>
      </c>
    </row>
    <row r="62" spans="1:5" ht="21">
      <c r="A62" s="4" t="s">
        <v>88</v>
      </c>
      <c r="B62" s="4" t="s">
        <v>277</v>
      </c>
      <c r="D62" s="1" t="s">
        <v>182</v>
      </c>
      <c r="E62">
        <f t="shared" si="0"/>
        <v>5</v>
      </c>
    </row>
    <row r="63" spans="1:5">
      <c r="A63" s="4" t="s">
        <v>89</v>
      </c>
      <c r="B63" s="4" t="s">
        <v>278</v>
      </c>
      <c r="D63" s="1" t="s">
        <v>183</v>
      </c>
      <c r="E63">
        <f t="shared" si="0"/>
        <v>3</v>
      </c>
    </row>
    <row r="64" spans="1:5" ht="31.5">
      <c r="A64" s="4" t="s">
        <v>90</v>
      </c>
      <c r="B64" s="4" t="s">
        <v>235</v>
      </c>
      <c r="D64" s="1" t="s">
        <v>816</v>
      </c>
      <c r="E64">
        <f t="shared" si="0"/>
        <v>3</v>
      </c>
    </row>
    <row r="65" spans="1:5" ht="21">
      <c r="A65" s="4" t="s">
        <v>91</v>
      </c>
      <c r="B65" s="4" t="s">
        <v>236</v>
      </c>
      <c r="D65" s="1" t="s">
        <v>184</v>
      </c>
      <c r="E65">
        <f t="shared" si="0"/>
        <v>5</v>
      </c>
    </row>
    <row r="66" spans="1:5" ht="42">
      <c r="A66" s="4" t="s">
        <v>92</v>
      </c>
      <c r="B66" s="4" t="s">
        <v>279</v>
      </c>
      <c r="D66" s="1" t="s">
        <v>185</v>
      </c>
      <c r="E66">
        <f t="shared" si="0"/>
        <v>7</v>
      </c>
    </row>
    <row r="67" spans="1:5" ht="31.5">
      <c r="A67" s="4" t="s">
        <v>93</v>
      </c>
      <c r="B67" s="4" t="s">
        <v>280</v>
      </c>
      <c r="D67" s="1" t="s">
        <v>186</v>
      </c>
      <c r="E67">
        <f t="shared" si="0"/>
        <v>7</v>
      </c>
    </row>
    <row r="68" spans="1:5" ht="31.5">
      <c r="A68" s="4" t="s">
        <v>94</v>
      </c>
      <c r="B68" s="4" t="s">
        <v>281</v>
      </c>
      <c r="D68" s="1" t="s">
        <v>187</v>
      </c>
      <c r="E68">
        <f t="shared" si="0"/>
        <v>7</v>
      </c>
    </row>
    <row r="69" spans="1:5">
      <c r="A69" s="4" t="s">
        <v>95</v>
      </c>
      <c r="B69" s="4" t="s">
        <v>282</v>
      </c>
      <c r="D69" s="1" t="s">
        <v>188</v>
      </c>
      <c r="E69">
        <f t="shared" si="0"/>
        <v>5</v>
      </c>
    </row>
    <row r="70" spans="1:5" ht="31.5">
      <c r="A70" s="4" t="s">
        <v>96</v>
      </c>
      <c r="B70" s="4" t="s">
        <v>237</v>
      </c>
      <c r="D70" s="1" t="s">
        <v>189</v>
      </c>
      <c r="E70">
        <f t="shared" ref="E70:E109" si="1">FIND("C",A70)</f>
        <v>3</v>
      </c>
    </row>
    <row r="71" spans="1:5" ht="21">
      <c r="A71" s="4" t="s">
        <v>97</v>
      </c>
      <c r="B71" s="4" t="s">
        <v>238</v>
      </c>
      <c r="D71" s="1" t="s">
        <v>671</v>
      </c>
      <c r="E71">
        <f t="shared" si="1"/>
        <v>5</v>
      </c>
    </row>
    <row r="72" spans="1:5" ht="21">
      <c r="A72" s="4" t="s">
        <v>98</v>
      </c>
      <c r="B72" s="4" t="s">
        <v>283</v>
      </c>
      <c r="D72" s="1" t="s">
        <v>190</v>
      </c>
      <c r="E72">
        <f t="shared" si="1"/>
        <v>7</v>
      </c>
    </row>
    <row r="73" spans="1:5">
      <c r="A73" s="4" t="s">
        <v>99</v>
      </c>
      <c r="B73" s="4" t="s">
        <v>284</v>
      </c>
      <c r="D73" s="1" t="s">
        <v>191</v>
      </c>
      <c r="E73">
        <f t="shared" si="1"/>
        <v>7</v>
      </c>
    </row>
    <row r="74" spans="1:5">
      <c r="A74" s="4" t="s">
        <v>100</v>
      </c>
      <c r="B74" s="4" t="s">
        <v>285</v>
      </c>
      <c r="D74" s="1" t="s">
        <v>192</v>
      </c>
      <c r="E74">
        <f t="shared" si="1"/>
        <v>7</v>
      </c>
    </row>
    <row r="75" spans="1:5" ht="21">
      <c r="A75" s="4" t="s">
        <v>101</v>
      </c>
      <c r="B75" s="4" t="s">
        <v>286</v>
      </c>
      <c r="D75" s="1" t="s">
        <v>193</v>
      </c>
      <c r="E75">
        <f t="shared" si="1"/>
        <v>7</v>
      </c>
    </row>
    <row r="76" spans="1:5" ht="21">
      <c r="A76" s="4" t="s">
        <v>102</v>
      </c>
      <c r="B76" s="4" t="s">
        <v>287</v>
      </c>
      <c r="D76" s="1" t="s">
        <v>194</v>
      </c>
      <c r="E76">
        <f t="shared" si="1"/>
        <v>5</v>
      </c>
    </row>
    <row r="77" spans="1:5" ht="31.5">
      <c r="A77" s="4" t="s">
        <v>103</v>
      </c>
      <c r="B77" s="4" t="s">
        <v>239</v>
      </c>
      <c r="D77" s="1" t="s">
        <v>817</v>
      </c>
      <c r="E77">
        <f t="shared" si="1"/>
        <v>3</v>
      </c>
    </row>
    <row r="78" spans="1:5" ht="21">
      <c r="A78" s="4" t="s">
        <v>104</v>
      </c>
      <c r="B78" s="4" t="s">
        <v>240</v>
      </c>
      <c r="D78" s="1" t="s">
        <v>195</v>
      </c>
      <c r="E78">
        <f t="shared" si="1"/>
        <v>5</v>
      </c>
    </row>
    <row r="79" spans="1:5" ht="31.5">
      <c r="A79" s="4" t="s">
        <v>105</v>
      </c>
      <c r="B79" s="4" t="s">
        <v>288</v>
      </c>
      <c r="D79" s="1" t="s">
        <v>196</v>
      </c>
      <c r="E79">
        <f t="shared" si="1"/>
        <v>7</v>
      </c>
    </row>
    <row r="80" spans="1:5" ht="31.5">
      <c r="A80" s="4" t="s">
        <v>106</v>
      </c>
      <c r="B80" s="4" t="s">
        <v>289</v>
      </c>
      <c r="D80" s="1" t="s">
        <v>197</v>
      </c>
      <c r="E80">
        <f t="shared" si="1"/>
        <v>7</v>
      </c>
    </row>
    <row r="81" spans="1:5" ht="21">
      <c r="A81" s="4" t="s">
        <v>107</v>
      </c>
      <c r="B81" s="4" t="s">
        <v>290</v>
      </c>
      <c r="D81" s="1" t="s">
        <v>198</v>
      </c>
      <c r="E81">
        <f t="shared" si="1"/>
        <v>7</v>
      </c>
    </row>
    <row r="82" spans="1:5" ht="21">
      <c r="A82" s="4" t="s">
        <v>108</v>
      </c>
      <c r="B82" s="4" t="s">
        <v>241</v>
      </c>
      <c r="D82" s="1" t="s">
        <v>199</v>
      </c>
      <c r="E82">
        <f t="shared" si="1"/>
        <v>5</v>
      </c>
    </row>
    <row r="83" spans="1:5">
      <c r="A83" s="4" t="s">
        <v>109</v>
      </c>
      <c r="B83" s="4" t="s">
        <v>291</v>
      </c>
      <c r="D83" s="1" t="s">
        <v>200</v>
      </c>
      <c r="E83">
        <f t="shared" si="1"/>
        <v>7</v>
      </c>
    </row>
    <row r="84" spans="1:5" ht="31.5">
      <c r="A84" s="4" t="s">
        <v>110</v>
      </c>
      <c r="B84" s="4" t="s">
        <v>242</v>
      </c>
      <c r="D84" s="1" t="s">
        <v>213</v>
      </c>
      <c r="E84">
        <f t="shared" si="1"/>
        <v>7</v>
      </c>
    </row>
    <row r="85" spans="1:5" ht="21">
      <c r="A85" s="4" t="s">
        <v>111</v>
      </c>
      <c r="B85" s="4" t="s">
        <v>292</v>
      </c>
      <c r="D85" s="1" t="s">
        <v>201</v>
      </c>
      <c r="E85">
        <f t="shared" si="1"/>
        <v>9</v>
      </c>
    </row>
    <row r="86" spans="1:5" ht="21">
      <c r="A86" s="4" t="s">
        <v>112</v>
      </c>
      <c r="B86" s="4" t="s">
        <v>293</v>
      </c>
      <c r="D86" s="1" t="s">
        <v>202</v>
      </c>
      <c r="E86">
        <f t="shared" si="1"/>
        <v>9</v>
      </c>
    </row>
    <row r="87" spans="1:5" ht="21">
      <c r="A87" s="4" t="s">
        <v>113</v>
      </c>
      <c r="B87" s="4" t="s">
        <v>294</v>
      </c>
      <c r="D87" s="1" t="s">
        <v>203</v>
      </c>
      <c r="E87">
        <f t="shared" si="1"/>
        <v>9</v>
      </c>
    </row>
    <row r="88" spans="1:5" ht="21">
      <c r="A88" s="4" t="s">
        <v>114</v>
      </c>
      <c r="B88" s="4" t="s">
        <v>295</v>
      </c>
      <c r="D88" s="1" t="s">
        <v>204</v>
      </c>
      <c r="E88">
        <f t="shared" si="1"/>
        <v>9</v>
      </c>
    </row>
    <row r="89" spans="1:5" ht="31.5">
      <c r="A89" s="4" t="s">
        <v>115</v>
      </c>
      <c r="B89" s="4" t="s">
        <v>243</v>
      </c>
      <c r="D89" s="1" t="s">
        <v>1043</v>
      </c>
      <c r="E89">
        <f t="shared" si="1"/>
        <v>3</v>
      </c>
    </row>
    <row r="90" spans="1:5" ht="31.5">
      <c r="A90" s="4" t="s">
        <v>116</v>
      </c>
      <c r="B90" s="4" t="s">
        <v>296</v>
      </c>
      <c r="D90" s="1" t="s">
        <v>999</v>
      </c>
      <c r="E90">
        <f t="shared" si="1"/>
        <v>5</v>
      </c>
    </row>
    <row r="91" spans="1:5">
      <c r="A91" s="4" t="s">
        <v>117</v>
      </c>
      <c r="B91" s="4" t="s">
        <v>297</v>
      </c>
      <c r="D91" s="1" t="s">
        <v>205</v>
      </c>
      <c r="E91">
        <f t="shared" si="1"/>
        <v>5</v>
      </c>
    </row>
    <row r="92" spans="1:5">
      <c r="A92" s="4" t="s">
        <v>118</v>
      </c>
      <c r="B92" s="4" t="s">
        <v>298</v>
      </c>
      <c r="D92" s="1" t="s">
        <v>206</v>
      </c>
      <c r="E92">
        <f t="shared" si="1"/>
        <v>5</v>
      </c>
    </row>
    <row r="93" spans="1:5" ht="21">
      <c r="A93" s="4" t="s">
        <v>119</v>
      </c>
      <c r="B93" s="4" t="s">
        <v>244</v>
      </c>
      <c r="D93" s="1" t="s">
        <v>207</v>
      </c>
      <c r="E93">
        <f t="shared" si="1"/>
        <v>5</v>
      </c>
    </row>
    <row r="94" spans="1:5" ht="31.5">
      <c r="A94" s="4" t="s">
        <v>120</v>
      </c>
      <c r="B94" s="4" t="s">
        <v>299</v>
      </c>
      <c r="D94" s="1" t="s">
        <v>208</v>
      </c>
      <c r="E94">
        <f t="shared" si="1"/>
        <v>7</v>
      </c>
    </row>
    <row r="95" spans="1:5" ht="31.5">
      <c r="A95" s="4" t="s">
        <v>121</v>
      </c>
      <c r="B95" s="4" t="s">
        <v>300</v>
      </c>
      <c r="D95" s="1" t="s">
        <v>209</v>
      </c>
      <c r="E95">
        <f t="shared" si="1"/>
        <v>7</v>
      </c>
    </row>
    <row r="96" spans="1:5" ht="21">
      <c r="A96" s="4" t="s">
        <v>122</v>
      </c>
      <c r="B96" s="4" t="s">
        <v>301</v>
      </c>
      <c r="D96" s="1" t="s">
        <v>210</v>
      </c>
      <c r="E96">
        <f t="shared" si="1"/>
        <v>7</v>
      </c>
    </row>
    <row r="97" spans="1:5" ht="21">
      <c r="A97" s="4" t="s">
        <v>123</v>
      </c>
      <c r="B97" s="4" t="s">
        <v>302</v>
      </c>
      <c r="D97" s="1" t="s">
        <v>211</v>
      </c>
      <c r="E97">
        <f t="shared" si="1"/>
        <v>7</v>
      </c>
    </row>
    <row r="98" spans="1:5" ht="21">
      <c r="A98" s="4" t="s">
        <v>124</v>
      </c>
      <c r="B98" s="4" t="s">
        <v>303</v>
      </c>
      <c r="D98" s="8" t="s">
        <v>212</v>
      </c>
      <c r="E98">
        <f t="shared" si="1"/>
        <v>5</v>
      </c>
    </row>
    <row r="99" spans="1:5" ht="21">
      <c r="A99" s="4" t="s">
        <v>125</v>
      </c>
      <c r="B99" s="4" t="s">
        <v>245</v>
      </c>
      <c r="E99">
        <f t="shared" si="1"/>
        <v>1</v>
      </c>
    </row>
    <row r="100" spans="1:5" ht="31.5">
      <c r="A100" s="4" t="s">
        <v>126</v>
      </c>
      <c r="B100" s="4" t="s">
        <v>246</v>
      </c>
      <c r="E100">
        <f t="shared" si="1"/>
        <v>1</v>
      </c>
    </row>
    <row r="101" spans="1:5">
      <c r="A101" s="4" t="s">
        <v>127</v>
      </c>
      <c r="B101" s="4" t="s">
        <v>247</v>
      </c>
      <c r="E101">
        <f t="shared" si="1"/>
        <v>1</v>
      </c>
    </row>
    <row r="102" spans="1:5" ht="21">
      <c r="A102" s="4" t="s">
        <v>128</v>
      </c>
      <c r="B102" s="4" t="s">
        <v>248</v>
      </c>
      <c r="E102">
        <f t="shared" si="1"/>
        <v>1</v>
      </c>
    </row>
    <row r="103" spans="1:5" ht="31.5">
      <c r="A103" s="4" t="s">
        <v>129</v>
      </c>
      <c r="B103" s="4" t="s">
        <v>249</v>
      </c>
      <c r="E103">
        <f t="shared" si="1"/>
        <v>1</v>
      </c>
    </row>
    <row r="104" spans="1:5" ht="31.5">
      <c r="A104" s="4" t="s">
        <v>130</v>
      </c>
      <c r="B104" s="4" t="s">
        <v>250</v>
      </c>
      <c r="E104">
        <f t="shared" si="1"/>
        <v>1</v>
      </c>
    </row>
    <row r="105" spans="1:5" ht="21">
      <c r="A105" s="4" t="s">
        <v>131</v>
      </c>
      <c r="B105" s="4" t="s">
        <v>251</v>
      </c>
      <c r="E105">
        <f t="shared" si="1"/>
        <v>5</v>
      </c>
    </row>
    <row r="106" spans="1:5" ht="21">
      <c r="A106" s="4" t="s">
        <v>132</v>
      </c>
      <c r="B106" s="4" t="s">
        <v>252</v>
      </c>
      <c r="E106">
        <f t="shared" si="1"/>
        <v>5</v>
      </c>
    </row>
    <row r="107" spans="1:5" ht="21">
      <c r="A107" s="4" t="s">
        <v>133</v>
      </c>
      <c r="B107" s="4" t="s">
        <v>253</v>
      </c>
      <c r="E107">
        <f t="shared" si="1"/>
        <v>5</v>
      </c>
    </row>
    <row r="108" spans="1:5" ht="21">
      <c r="A108" s="4" t="s">
        <v>134</v>
      </c>
      <c r="B108" s="4" t="s">
        <v>254</v>
      </c>
      <c r="E108">
        <f t="shared" si="1"/>
        <v>5</v>
      </c>
    </row>
    <row r="109" spans="1:5" ht="21">
      <c r="A109" s="4" t="s">
        <v>135</v>
      </c>
      <c r="B109" s="4" t="s">
        <v>255</v>
      </c>
      <c r="E109">
        <f t="shared" si="1"/>
        <v>6</v>
      </c>
    </row>
    <row r="110" spans="1:5" ht="21">
      <c r="A110" s="4" t="s">
        <v>136</v>
      </c>
      <c r="B110" s="4" t="s">
        <v>256</v>
      </c>
      <c r="E110">
        <v>9</v>
      </c>
    </row>
    <row r="111" spans="1:5">
      <c r="A111" s="5" t="s">
        <v>137</v>
      </c>
      <c r="B111" s="5" t="s">
        <v>304</v>
      </c>
    </row>
    <row r="112" spans="1:5">
      <c r="A112" s="6"/>
      <c r="B112" s="6"/>
    </row>
    <row r="113" spans="1:4">
      <c r="A113" s="7"/>
      <c r="B113" s="7"/>
      <c r="D113"/>
    </row>
    <row r="114" spans="1:4">
      <c r="A114" s="7"/>
      <c r="B114" s="7"/>
      <c r="D114"/>
    </row>
  </sheetData>
  <hyperlinks>
    <hyperlink ref="A111" r:id="rId1" tooltip="Click once to display linked information. Click and hold to select this cell." display="http://stats.oecd.org/"/>
    <hyperlink ref="B111" r:id="rId2" tooltip="Click once to display linked information. Click and hold to select this cell." display="http://stats.oecd.org/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39" workbookViewId="0">
      <selection activeCell="E105" sqref="E105"/>
    </sheetView>
  </sheetViews>
  <sheetFormatPr defaultColWidth="8.28515625" defaultRowHeight="12.75"/>
  <cols>
    <col min="1" max="1" width="32.42578125" style="49" customWidth="1"/>
    <col min="2" max="2" width="8.28515625" style="49"/>
    <col min="3" max="3" width="18" style="49" customWidth="1"/>
    <col min="4" max="16384" width="8.28515625" style="50"/>
  </cols>
  <sheetData>
    <row r="1" spans="1:5">
      <c r="D1" s="60"/>
      <c r="E1" s="61"/>
    </row>
    <row r="2" spans="1:5">
      <c r="D2" s="60"/>
      <c r="E2" s="61"/>
    </row>
    <row r="3" spans="1:5">
      <c r="D3" s="60"/>
      <c r="E3" s="61"/>
    </row>
    <row r="4" spans="1:5" s="51" customFormat="1">
      <c r="A4" s="55" t="s">
        <v>676</v>
      </c>
      <c r="B4" s="55" t="s">
        <v>30</v>
      </c>
      <c r="C4" s="55" t="s">
        <v>1004</v>
      </c>
      <c r="D4" s="51" t="s">
        <v>1002</v>
      </c>
      <c r="E4" s="62"/>
    </row>
    <row r="5" spans="1:5" s="51" customFormat="1" ht="15">
      <c r="A5" s="55" t="s">
        <v>1080</v>
      </c>
      <c r="B5" s="52">
        <v>1</v>
      </c>
      <c r="C5" s="55" t="s">
        <v>1081</v>
      </c>
      <c r="D5" s="1" t="s">
        <v>138</v>
      </c>
      <c r="E5" s="62">
        <f>LEN(C5)</f>
        <v>5</v>
      </c>
    </row>
    <row r="6" spans="1:5">
      <c r="A6" s="52" t="s">
        <v>893</v>
      </c>
      <c r="B6" s="52">
        <v>2</v>
      </c>
      <c r="C6" s="53" t="s">
        <v>894</v>
      </c>
      <c r="D6" s="50" t="s">
        <v>660</v>
      </c>
      <c r="E6" s="62">
        <f t="shared" ref="E6:E69" si="0">LEN(C6)</f>
        <v>3</v>
      </c>
    </row>
    <row r="7" spans="1:5">
      <c r="A7" s="56" t="s">
        <v>819</v>
      </c>
      <c r="B7" s="52">
        <v>3</v>
      </c>
      <c r="C7" s="49" t="s">
        <v>943</v>
      </c>
      <c r="D7" s="50" t="s">
        <v>140</v>
      </c>
      <c r="E7" s="62">
        <f t="shared" si="0"/>
        <v>2</v>
      </c>
    </row>
    <row r="8" spans="1:5">
      <c r="A8" s="56" t="s">
        <v>820</v>
      </c>
      <c r="B8" s="52">
        <v>4</v>
      </c>
      <c r="C8" s="49" t="s">
        <v>944</v>
      </c>
      <c r="D8" s="50" t="s">
        <v>141</v>
      </c>
      <c r="E8" s="62">
        <f t="shared" si="0"/>
        <v>2</v>
      </c>
    </row>
    <row r="9" spans="1:5">
      <c r="A9" s="56" t="s">
        <v>821</v>
      </c>
      <c r="B9" s="52">
        <v>5</v>
      </c>
      <c r="C9" s="49" t="s">
        <v>945</v>
      </c>
      <c r="D9" s="50" t="s">
        <v>142</v>
      </c>
      <c r="E9" s="62">
        <f t="shared" si="0"/>
        <v>2</v>
      </c>
    </row>
    <row r="10" spans="1:5">
      <c r="A10" s="52" t="s">
        <v>895</v>
      </c>
      <c r="B10" s="52">
        <v>6</v>
      </c>
      <c r="C10" s="49" t="s">
        <v>0</v>
      </c>
      <c r="D10" s="50" t="s">
        <v>813</v>
      </c>
      <c r="E10" s="62">
        <f t="shared" si="0"/>
        <v>1</v>
      </c>
    </row>
    <row r="11" spans="1:5">
      <c r="A11" s="54" t="s">
        <v>822</v>
      </c>
      <c r="B11" s="52">
        <v>7</v>
      </c>
      <c r="C11" s="49" t="s">
        <v>946</v>
      </c>
      <c r="D11" s="50" t="s">
        <v>144</v>
      </c>
      <c r="E11" s="62">
        <f t="shared" si="0"/>
        <v>2</v>
      </c>
    </row>
    <row r="12" spans="1:5">
      <c r="A12" s="56" t="s">
        <v>823</v>
      </c>
      <c r="B12" s="52">
        <v>8</v>
      </c>
      <c r="C12" s="49" t="s">
        <v>947</v>
      </c>
      <c r="D12" s="50" t="s">
        <v>145</v>
      </c>
      <c r="E12" s="62">
        <f t="shared" si="0"/>
        <v>2</v>
      </c>
    </row>
    <row r="13" spans="1:5">
      <c r="A13" s="54" t="s">
        <v>824</v>
      </c>
      <c r="B13" s="52">
        <v>9</v>
      </c>
      <c r="C13" s="49" t="s">
        <v>948</v>
      </c>
      <c r="D13" s="50" t="s">
        <v>146</v>
      </c>
      <c r="E13" s="62">
        <f t="shared" si="0"/>
        <v>2</v>
      </c>
    </row>
    <row r="14" spans="1:5">
      <c r="A14" s="54" t="s">
        <v>825</v>
      </c>
      <c r="B14" s="52">
        <v>10</v>
      </c>
      <c r="C14" s="49" t="s">
        <v>949</v>
      </c>
      <c r="D14" s="50" t="s">
        <v>148</v>
      </c>
      <c r="E14" s="62">
        <f t="shared" si="0"/>
        <v>2</v>
      </c>
    </row>
    <row r="15" spans="1:5">
      <c r="A15" s="54" t="s">
        <v>826</v>
      </c>
      <c r="B15" s="52">
        <v>11</v>
      </c>
      <c r="C15" s="49" t="s">
        <v>950</v>
      </c>
      <c r="D15" s="50" t="s">
        <v>149</v>
      </c>
      <c r="E15" s="62">
        <f t="shared" si="0"/>
        <v>2</v>
      </c>
    </row>
    <row r="16" spans="1:5">
      <c r="A16" s="52" t="s">
        <v>896</v>
      </c>
      <c r="B16" s="52">
        <v>12</v>
      </c>
      <c r="C16" s="53" t="s">
        <v>1</v>
      </c>
      <c r="D16" s="59" t="s">
        <v>998</v>
      </c>
      <c r="E16" s="62">
        <f t="shared" si="0"/>
        <v>1</v>
      </c>
    </row>
    <row r="17" spans="1:5">
      <c r="A17" s="52" t="s">
        <v>897</v>
      </c>
      <c r="B17" s="52">
        <v>13</v>
      </c>
      <c r="C17" s="53" t="s">
        <v>898</v>
      </c>
      <c r="D17" s="60" t="s">
        <v>151</v>
      </c>
      <c r="E17" s="62">
        <f t="shared" si="0"/>
        <v>5</v>
      </c>
    </row>
    <row r="18" spans="1:5">
      <c r="A18" s="54" t="s">
        <v>827</v>
      </c>
      <c r="B18" s="52">
        <v>14</v>
      </c>
      <c r="C18" s="49" t="s">
        <v>951</v>
      </c>
      <c r="D18" s="50" t="s">
        <v>152</v>
      </c>
      <c r="E18" s="62">
        <f t="shared" si="0"/>
        <v>2</v>
      </c>
    </row>
    <row r="19" spans="1:5">
      <c r="A19" s="54" t="s">
        <v>828</v>
      </c>
      <c r="B19" s="52">
        <v>15</v>
      </c>
      <c r="C19" s="49" t="s">
        <v>952</v>
      </c>
      <c r="D19" s="50" t="s">
        <v>153</v>
      </c>
      <c r="E19" s="62">
        <f t="shared" si="0"/>
        <v>2</v>
      </c>
    </row>
    <row r="20" spans="1:5">
      <c r="A20" s="52" t="s">
        <v>899</v>
      </c>
      <c r="B20" s="52">
        <v>16</v>
      </c>
      <c r="C20" s="53" t="s">
        <v>900</v>
      </c>
      <c r="D20" s="60" t="s">
        <v>814</v>
      </c>
      <c r="E20" s="62">
        <f t="shared" si="0"/>
        <v>5</v>
      </c>
    </row>
    <row r="21" spans="1:5">
      <c r="A21" s="52" t="s">
        <v>901</v>
      </c>
      <c r="B21" s="52">
        <v>17</v>
      </c>
      <c r="C21" s="53" t="s">
        <v>902</v>
      </c>
      <c r="D21" s="60" t="s">
        <v>154</v>
      </c>
      <c r="E21" s="62">
        <f t="shared" si="0"/>
        <v>5</v>
      </c>
    </row>
    <row r="22" spans="1:5">
      <c r="A22" s="54" t="s">
        <v>829</v>
      </c>
      <c r="B22" s="52">
        <v>18</v>
      </c>
      <c r="C22" s="49" t="s">
        <v>953</v>
      </c>
      <c r="D22" s="50" t="s">
        <v>155</v>
      </c>
      <c r="E22" s="62">
        <f t="shared" si="0"/>
        <v>2</v>
      </c>
    </row>
    <row r="23" spans="1:5">
      <c r="A23" s="54" t="s">
        <v>830</v>
      </c>
      <c r="B23" s="52">
        <v>19</v>
      </c>
      <c r="C23" s="49" t="s">
        <v>954</v>
      </c>
      <c r="D23" s="50" t="s">
        <v>156</v>
      </c>
      <c r="E23" s="62">
        <f t="shared" si="0"/>
        <v>2</v>
      </c>
    </row>
    <row r="24" spans="1:5">
      <c r="A24" s="54" t="s">
        <v>831</v>
      </c>
      <c r="B24" s="52">
        <v>20</v>
      </c>
      <c r="C24" s="53" t="s">
        <v>903</v>
      </c>
      <c r="D24" s="50" t="s">
        <v>157</v>
      </c>
      <c r="E24" s="62">
        <f t="shared" si="0"/>
        <v>2</v>
      </c>
    </row>
    <row r="25" spans="1:5">
      <c r="A25" s="56" t="s">
        <v>832</v>
      </c>
      <c r="B25" s="52">
        <v>21</v>
      </c>
      <c r="C25" s="53" t="s">
        <v>904</v>
      </c>
      <c r="D25" s="50" t="s">
        <v>158</v>
      </c>
      <c r="E25" s="62">
        <f t="shared" si="0"/>
        <v>2</v>
      </c>
    </row>
    <row r="26" spans="1:5">
      <c r="A26" s="52" t="s">
        <v>905</v>
      </c>
      <c r="B26" s="52">
        <v>22</v>
      </c>
      <c r="C26" s="53" t="s">
        <v>906</v>
      </c>
      <c r="D26" s="60" t="s">
        <v>159</v>
      </c>
      <c r="E26" s="62">
        <f t="shared" si="0"/>
        <v>5</v>
      </c>
    </row>
    <row r="27" spans="1:5">
      <c r="A27" s="56" t="s">
        <v>833</v>
      </c>
      <c r="B27" s="52">
        <v>23</v>
      </c>
      <c r="C27" s="49" t="s">
        <v>955</v>
      </c>
      <c r="D27" s="50" t="s">
        <v>160</v>
      </c>
      <c r="E27" s="62">
        <f t="shared" si="0"/>
        <v>2</v>
      </c>
    </row>
    <row r="28" spans="1:5">
      <c r="A28" s="56" t="s">
        <v>834</v>
      </c>
      <c r="B28" s="52">
        <v>24</v>
      </c>
      <c r="C28" s="49" t="s">
        <v>956</v>
      </c>
      <c r="D28" s="50" t="s">
        <v>161</v>
      </c>
      <c r="E28" s="62">
        <f t="shared" si="0"/>
        <v>2</v>
      </c>
    </row>
    <row r="29" spans="1:5">
      <c r="A29" s="48" t="s">
        <v>835</v>
      </c>
      <c r="B29" s="52">
        <v>25</v>
      </c>
      <c r="C29" s="49" t="s">
        <v>957</v>
      </c>
      <c r="E29" s="62">
        <f t="shared" si="0"/>
        <v>4</v>
      </c>
    </row>
    <row r="30" spans="1:5">
      <c r="A30" s="57" t="s">
        <v>836</v>
      </c>
      <c r="B30" s="52">
        <v>26</v>
      </c>
      <c r="C30" s="49" t="s">
        <v>958</v>
      </c>
      <c r="E30" s="62">
        <f t="shared" si="0"/>
        <v>9</v>
      </c>
    </row>
    <row r="31" spans="1:5">
      <c r="A31" s="52" t="s">
        <v>907</v>
      </c>
      <c r="B31" s="52">
        <v>27</v>
      </c>
      <c r="C31" s="53" t="s">
        <v>908</v>
      </c>
      <c r="D31" s="59" t="s">
        <v>815</v>
      </c>
      <c r="E31" s="62">
        <f t="shared" si="0"/>
        <v>5</v>
      </c>
    </row>
    <row r="32" spans="1:5">
      <c r="A32" s="54" t="s">
        <v>837</v>
      </c>
      <c r="B32" s="52">
        <v>28</v>
      </c>
      <c r="C32" s="53" t="s">
        <v>909</v>
      </c>
      <c r="D32" s="50" t="s">
        <v>162</v>
      </c>
      <c r="E32" s="62">
        <f t="shared" si="0"/>
        <v>2</v>
      </c>
    </row>
    <row r="33" spans="1:5">
      <c r="A33" s="52" t="s">
        <v>910</v>
      </c>
      <c r="B33" s="52">
        <v>29</v>
      </c>
      <c r="C33" s="53" t="s">
        <v>581</v>
      </c>
      <c r="D33" s="50" t="s">
        <v>163</v>
      </c>
      <c r="E33" s="62">
        <f t="shared" si="0"/>
        <v>2</v>
      </c>
    </row>
    <row r="34" spans="1:5">
      <c r="A34" s="56" t="s">
        <v>838</v>
      </c>
      <c r="B34" s="52">
        <v>30</v>
      </c>
      <c r="C34" s="49" t="s">
        <v>959</v>
      </c>
      <c r="E34" s="62">
        <f t="shared" si="0"/>
        <v>12</v>
      </c>
    </row>
    <row r="35" spans="1:5">
      <c r="A35" s="57" t="s">
        <v>839</v>
      </c>
      <c r="B35" s="52">
        <v>31</v>
      </c>
      <c r="C35" s="49" t="s">
        <v>960</v>
      </c>
      <c r="E35" s="62">
        <f t="shared" si="0"/>
        <v>13</v>
      </c>
    </row>
    <row r="36" spans="1:5">
      <c r="A36" s="47" t="s">
        <v>840</v>
      </c>
      <c r="B36" s="52">
        <v>32</v>
      </c>
      <c r="C36" s="49" t="s">
        <v>961</v>
      </c>
      <c r="E36" s="62">
        <f t="shared" si="0"/>
        <v>4</v>
      </c>
    </row>
    <row r="37" spans="1:5">
      <c r="A37" s="54" t="s">
        <v>841</v>
      </c>
      <c r="B37" s="52">
        <v>33</v>
      </c>
      <c r="C37" s="53" t="s">
        <v>911</v>
      </c>
      <c r="D37" s="50" t="s">
        <v>164</v>
      </c>
      <c r="E37" s="62">
        <f t="shared" si="0"/>
        <v>2</v>
      </c>
    </row>
    <row r="38" spans="1:5">
      <c r="A38" s="56" t="s">
        <v>842</v>
      </c>
      <c r="B38" s="52">
        <v>34</v>
      </c>
      <c r="C38" s="53" t="s">
        <v>583</v>
      </c>
      <c r="D38" s="50" t="s">
        <v>165</v>
      </c>
      <c r="E38" s="62">
        <f t="shared" si="0"/>
        <v>2</v>
      </c>
    </row>
    <row r="39" spans="1:5">
      <c r="A39" s="52" t="s">
        <v>912</v>
      </c>
      <c r="B39" s="52">
        <v>35</v>
      </c>
      <c r="C39" s="53" t="s">
        <v>913</v>
      </c>
      <c r="D39" s="59" t="s">
        <v>166</v>
      </c>
      <c r="E39" s="62">
        <f t="shared" si="0"/>
        <v>5</v>
      </c>
    </row>
    <row r="40" spans="1:5">
      <c r="A40" s="54" t="s">
        <v>843</v>
      </c>
      <c r="B40" s="52">
        <v>36</v>
      </c>
      <c r="C40" s="49" t="s">
        <v>962</v>
      </c>
      <c r="D40" s="50" t="s">
        <v>167</v>
      </c>
      <c r="E40" s="62">
        <f t="shared" si="0"/>
        <v>2</v>
      </c>
    </row>
    <row r="41" spans="1:5">
      <c r="A41" s="54" t="s">
        <v>844</v>
      </c>
      <c r="B41" s="52">
        <v>37</v>
      </c>
      <c r="C41" s="49" t="s">
        <v>963</v>
      </c>
      <c r="D41" s="50" t="s">
        <v>168</v>
      </c>
      <c r="E41" s="62">
        <f t="shared" si="0"/>
        <v>2</v>
      </c>
    </row>
    <row r="42" spans="1:5">
      <c r="A42" s="56" t="s">
        <v>845</v>
      </c>
      <c r="B42" s="52">
        <v>38</v>
      </c>
      <c r="C42" s="53" t="s">
        <v>914</v>
      </c>
      <c r="D42" s="50" t="s">
        <v>169</v>
      </c>
      <c r="E42" s="62">
        <f t="shared" si="0"/>
        <v>2</v>
      </c>
    </row>
    <row r="43" spans="1:5">
      <c r="A43" s="52" t="s">
        <v>915</v>
      </c>
      <c r="B43" s="52">
        <v>39</v>
      </c>
      <c r="C43" s="53" t="s">
        <v>916</v>
      </c>
      <c r="D43" s="60" t="s">
        <v>170</v>
      </c>
      <c r="E43" s="62">
        <f t="shared" si="0"/>
        <v>5</v>
      </c>
    </row>
    <row r="44" spans="1:5">
      <c r="A44" s="56" t="s">
        <v>846</v>
      </c>
      <c r="B44" s="52">
        <v>40</v>
      </c>
      <c r="C44" s="49" t="s">
        <v>964</v>
      </c>
      <c r="D44" s="50" t="s">
        <v>171</v>
      </c>
      <c r="E44" s="62">
        <f t="shared" si="0"/>
        <v>2</v>
      </c>
    </row>
    <row r="45" spans="1:5">
      <c r="A45" s="54" t="s">
        <v>847</v>
      </c>
      <c r="B45" s="52">
        <v>41</v>
      </c>
      <c r="C45" s="49" t="s">
        <v>965</v>
      </c>
      <c r="D45" s="50" t="s">
        <v>172</v>
      </c>
      <c r="E45" s="62">
        <f t="shared" si="0"/>
        <v>2</v>
      </c>
    </row>
    <row r="46" spans="1:5">
      <c r="A46" s="57" t="s">
        <v>848</v>
      </c>
      <c r="B46" s="52">
        <v>42</v>
      </c>
      <c r="C46" s="49" t="s">
        <v>966</v>
      </c>
      <c r="E46" s="62">
        <f t="shared" si="0"/>
        <v>7</v>
      </c>
    </row>
    <row r="47" spans="1:5">
      <c r="A47" s="48" t="s">
        <v>849</v>
      </c>
      <c r="B47" s="52">
        <v>43</v>
      </c>
      <c r="C47" s="49" t="s">
        <v>967</v>
      </c>
      <c r="E47" s="62">
        <f t="shared" si="0"/>
        <v>4</v>
      </c>
    </row>
    <row r="48" spans="1:5">
      <c r="A48" s="56" t="s">
        <v>850</v>
      </c>
      <c r="B48" s="52">
        <v>44</v>
      </c>
      <c r="C48" s="49" t="s">
        <v>968</v>
      </c>
      <c r="D48" s="50" t="s">
        <v>173</v>
      </c>
      <c r="E48" s="62">
        <f t="shared" si="0"/>
        <v>2</v>
      </c>
    </row>
    <row r="49" spans="1:5">
      <c r="A49" s="57" t="s">
        <v>851</v>
      </c>
      <c r="B49" s="52">
        <v>45</v>
      </c>
      <c r="C49" s="49" t="s">
        <v>969</v>
      </c>
      <c r="E49" s="62">
        <f t="shared" si="0"/>
        <v>9</v>
      </c>
    </row>
    <row r="50" spans="1:5">
      <c r="A50" s="57" t="s">
        <v>852</v>
      </c>
      <c r="B50" s="52">
        <v>46</v>
      </c>
      <c r="C50" s="49" t="s">
        <v>970</v>
      </c>
      <c r="E50" s="62">
        <f t="shared" si="0"/>
        <v>4</v>
      </c>
    </row>
    <row r="51" spans="1:5">
      <c r="A51" s="56" t="s">
        <v>853</v>
      </c>
      <c r="B51" s="52">
        <v>47</v>
      </c>
      <c r="C51" s="49" t="s">
        <v>971</v>
      </c>
      <c r="D51" s="50" t="s">
        <v>174</v>
      </c>
      <c r="E51" s="62">
        <f t="shared" si="0"/>
        <v>2</v>
      </c>
    </row>
    <row r="52" spans="1:5">
      <c r="A52" s="57" t="s">
        <v>854</v>
      </c>
      <c r="B52" s="52">
        <v>48</v>
      </c>
      <c r="C52" s="49" t="s">
        <v>972</v>
      </c>
      <c r="E52" s="62">
        <f t="shared" si="0"/>
        <v>14</v>
      </c>
    </row>
    <row r="53" spans="1:5">
      <c r="A53" s="57" t="s">
        <v>855</v>
      </c>
      <c r="B53" s="52">
        <v>49</v>
      </c>
      <c r="C53" s="49" t="s">
        <v>973</v>
      </c>
      <c r="E53" s="62">
        <f t="shared" si="0"/>
        <v>9</v>
      </c>
    </row>
    <row r="54" spans="1:5">
      <c r="A54" s="52" t="s">
        <v>917</v>
      </c>
      <c r="B54" s="52">
        <v>50</v>
      </c>
      <c r="C54" s="53" t="s">
        <v>918</v>
      </c>
      <c r="D54" s="60" t="s">
        <v>175</v>
      </c>
      <c r="E54" s="62">
        <f t="shared" si="0"/>
        <v>5</v>
      </c>
    </row>
    <row r="55" spans="1:5">
      <c r="A55" s="54" t="s">
        <v>856</v>
      </c>
      <c r="B55" s="52">
        <v>51</v>
      </c>
      <c r="C55" s="49" t="s">
        <v>974</v>
      </c>
      <c r="D55" s="50" t="s">
        <v>176</v>
      </c>
      <c r="E55" s="62">
        <f t="shared" si="0"/>
        <v>2</v>
      </c>
    </row>
    <row r="56" spans="1:5">
      <c r="A56" s="56" t="s">
        <v>857</v>
      </c>
      <c r="B56" s="52">
        <v>52</v>
      </c>
      <c r="C56" s="49" t="s">
        <v>975</v>
      </c>
      <c r="D56" s="50" t="s">
        <v>177</v>
      </c>
      <c r="E56" s="62">
        <f t="shared" si="0"/>
        <v>2</v>
      </c>
    </row>
    <row r="57" spans="1:5">
      <c r="A57" s="48" t="s">
        <v>858</v>
      </c>
      <c r="B57" s="52">
        <v>53</v>
      </c>
      <c r="C57" s="49" t="s">
        <v>976</v>
      </c>
      <c r="E57" s="62">
        <f t="shared" si="0"/>
        <v>4</v>
      </c>
    </row>
    <row r="58" spans="1:5">
      <c r="A58" s="57" t="s">
        <v>859</v>
      </c>
      <c r="B58" s="52">
        <v>54</v>
      </c>
      <c r="C58" s="49" t="s">
        <v>977</v>
      </c>
      <c r="E58" s="62">
        <f t="shared" si="0"/>
        <v>4</v>
      </c>
    </row>
    <row r="59" spans="1:5">
      <c r="A59" s="57" t="s">
        <v>860</v>
      </c>
      <c r="B59" s="52">
        <v>55</v>
      </c>
      <c r="C59" s="49" t="s">
        <v>978</v>
      </c>
      <c r="E59" s="62">
        <f t="shared" si="0"/>
        <v>14</v>
      </c>
    </row>
    <row r="60" spans="1:5">
      <c r="A60" s="52" t="s">
        <v>919</v>
      </c>
      <c r="B60" s="52">
        <v>56</v>
      </c>
      <c r="C60" s="53" t="s">
        <v>920</v>
      </c>
      <c r="D60" s="50" t="s">
        <v>178</v>
      </c>
      <c r="E60" s="62">
        <f t="shared" si="0"/>
        <v>5</v>
      </c>
    </row>
    <row r="61" spans="1:5">
      <c r="A61" s="56" t="s">
        <v>861</v>
      </c>
      <c r="B61" s="52">
        <v>57</v>
      </c>
      <c r="C61" s="49" t="s">
        <v>979</v>
      </c>
      <c r="D61" s="50" t="s">
        <v>367</v>
      </c>
      <c r="E61" s="62">
        <f t="shared" si="0"/>
        <v>2</v>
      </c>
    </row>
    <row r="62" spans="1:5">
      <c r="A62" s="56" t="s">
        <v>862</v>
      </c>
      <c r="B62" s="52">
        <v>58</v>
      </c>
      <c r="C62" s="49" t="s">
        <v>980</v>
      </c>
      <c r="D62" s="50" t="s">
        <v>179</v>
      </c>
      <c r="E62" s="62">
        <f t="shared" si="0"/>
        <v>19</v>
      </c>
    </row>
    <row r="63" spans="1:5">
      <c r="A63" s="52" t="s">
        <v>921</v>
      </c>
      <c r="B63" s="52">
        <v>59</v>
      </c>
      <c r="C63" s="53" t="s">
        <v>2</v>
      </c>
      <c r="D63" s="60" t="s">
        <v>180</v>
      </c>
      <c r="E63" s="62">
        <f t="shared" si="0"/>
        <v>1</v>
      </c>
    </row>
    <row r="64" spans="1:5">
      <c r="A64" s="56" t="s">
        <v>863</v>
      </c>
      <c r="B64" s="52">
        <v>60</v>
      </c>
      <c r="C64" s="49" t="s">
        <v>981</v>
      </c>
      <c r="D64" s="59" t="s">
        <v>1083</v>
      </c>
      <c r="E64" s="62">
        <f t="shared" si="0"/>
        <v>2</v>
      </c>
    </row>
    <row r="65" spans="1:5">
      <c r="A65" s="48" t="s">
        <v>864</v>
      </c>
      <c r="B65" s="52">
        <v>61</v>
      </c>
      <c r="C65" s="49" t="s">
        <v>982</v>
      </c>
      <c r="D65" s="50" t="s">
        <v>670</v>
      </c>
      <c r="E65" s="62">
        <f t="shared" si="0"/>
        <v>4</v>
      </c>
    </row>
    <row r="66" spans="1:5">
      <c r="A66" s="48" t="s">
        <v>369</v>
      </c>
      <c r="B66" s="52">
        <v>62</v>
      </c>
      <c r="C66" s="49" t="s">
        <v>983</v>
      </c>
      <c r="D66" s="50" t="s">
        <v>399</v>
      </c>
      <c r="E66" s="62">
        <f t="shared" si="0"/>
        <v>4</v>
      </c>
    </row>
    <row r="67" spans="1:5">
      <c r="A67" s="57" t="s">
        <v>370</v>
      </c>
      <c r="B67" s="52">
        <v>63</v>
      </c>
      <c r="C67" s="49" t="s">
        <v>984</v>
      </c>
      <c r="D67" s="50" t="s">
        <v>400</v>
      </c>
      <c r="E67" s="62">
        <f t="shared" si="0"/>
        <v>4</v>
      </c>
    </row>
    <row r="68" spans="1:5">
      <c r="A68" s="54" t="s">
        <v>865</v>
      </c>
      <c r="B68" s="52">
        <v>64</v>
      </c>
      <c r="C68" s="49" t="s">
        <v>985</v>
      </c>
      <c r="D68" s="50" t="s">
        <v>182</v>
      </c>
      <c r="E68" s="62">
        <f t="shared" si="0"/>
        <v>2</v>
      </c>
    </row>
    <row r="69" spans="1:5">
      <c r="A69" s="54" t="s">
        <v>800</v>
      </c>
      <c r="B69" s="52">
        <v>65</v>
      </c>
      <c r="C69" s="53" t="s">
        <v>3</v>
      </c>
      <c r="D69" s="50" t="s">
        <v>183</v>
      </c>
      <c r="E69" s="62">
        <f t="shared" si="0"/>
        <v>1</v>
      </c>
    </row>
    <row r="70" spans="1:5">
      <c r="A70" s="52" t="s">
        <v>922</v>
      </c>
      <c r="B70" s="52">
        <v>66</v>
      </c>
      <c r="C70" s="53" t="s">
        <v>4</v>
      </c>
      <c r="D70" s="60" t="s">
        <v>184</v>
      </c>
      <c r="E70" s="62">
        <f t="shared" ref="E70:E105" si="1">LEN(C70)</f>
        <v>1</v>
      </c>
    </row>
    <row r="71" spans="1:5">
      <c r="A71" s="56" t="s">
        <v>866</v>
      </c>
      <c r="B71" s="52">
        <v>67</v>
      </c>
      <c r="C71" s="53" t="s">
        <v>923</v>
      </c>
      <c r="D71" s="50" t="s">
        <v>185</v>
      </c>
      <c r="E71" s="62">
        <f t="shared" si="1"/>
        <v>2</v>
      </c>
    </row>
    <row r="72" spans="1:5">
      <c r="A72" s="56" t="s">
        <v>867</v>
      </c>
      <c r="B72" s="52">
        <v>68</v>
      </c>
      <c r="C72" s="53" t="s">
        <v>924</v>
      </c>
      <c r="D72" s="50" t="s">
        <v>186</v>
      </c>
      <c r="E72" s="62">
        <f t="shared" si="1"/>
        <v>2</v>
      </c>
    </row>
    <row r="73" spans="1:5">
      <c r="A73" s="56" t="s">
        <v>868</v>
      </c>
      <c r="B73" s="52">
        <v>69</v>
      </c>
      <c r="C73" s="53" t="s">
        <v>925</v>
      </c>
      <c r="D73" s="50" t="s">
        <v>187</v>
      </c>
      <c r="E73" s="62">
        <f t="shared" si="1"/>
        <v>2</v>
      </c>
    </row>
    <row r="74" spans="1:5">
      <c r="A74" s="54" t="s">
        <v>869</v>
      </c>
      <c r="B74" s="52">
        <v>70</v>
      </c>
      <c r="C74" s="53" t="s">
        <v>5</v>
      </c>
      <c r="D74" s="50" t="s">
        <v>188</v>
      </c>
      <c r="E74" s="62">
        <f t="shared" si="1"/>
        <v>1</v>
      </c>
    </row>
    <row r="75" spans="1:5">
      <c r="A75" s="52" t="s">
        <v>926</v>
      </c>
      <c r="B75" s="52">
        <v>71</v>
      </c>
      <c r="C75" s="53" t="s">
        <v>6</v>
      </c>
      <c r="D75" s="50" t="s">
        <v>1000</v>
      </c>
      <c r="E75" s="62">
        <f t="shared" si="1"/>
        <v>1</v>
      </c>
    </row>
    <row r="76" spans="1:5">
      <c r="A76" s="56" t="s">
        <v>870</v>
      </c>
      <c r="B76" s="52">
        <v>72</v>
      </c>
      <c r="C76" s="53" t="s">
        <v>927</v>
      </c>
      <c r="D76" s="50" t="s">
        <v>671</v>
      </c>
      <c r="E76" s="62">
        <f t="shared" si="1"/>
        <v>5</v>
      </c>
    </row>
    <row r="77" spans="1:5">
      <c r="A77" s="48" t="s">
        <v>871</v>
      </c>
      <c r="B77" s="52">
        <v>73</v>
      </c>
      <c r="C77" s="53" t="s">
        <v>928</v>
      </c>
      <c r="D77" s="50" t="s">
        <v>190</v>
      </c>
      <c r="E77" s="62">
        <f t="shared" si="1"/>
        <v>2</v>
      </c>
    </row>
    <row r="78" spans="1:5">
      <c r="A78" s="48" t="s">
        <v>872</v>
      </c>
      <c r="B78" s="52">
        <v>74</v>
      </c>
      <c r="C78" s="53" t="s">
        <v>929</v>
      </c>
      <c r="D78" s="50" t="s">
        <v>191</v>
      </c>
      <c r="E78" s="62">
        <f t="shared" si="1"/>
        <v>2</v>
      </c>
    </row>
    <row r="79" spans="1:5">
      <c r="A79" s="48" t="s">
        <v>873</v>
      </c>
      <c r="B79" s="52">
        <v>75</v>
      </c>
      <c r="C79" s="53" t="s">
        <v>930</v>
      </c>
      <c r="D79" s="50" t="s">
        <v>192</v>
      </c>
      <c r="E79" s="62">
        <f t="shared" si="1"/>
        <v>2</v>
      </c>
    </row>
    <row r="80" spans="1:5">
      <c r="A80" s="57" t="s">
        <v>874</v>
      </c>
      <c r="B80" s="52">
        <v>76</v>
      </c>
      <c r="C80" s="53" t="s">
        <v>931</v>
      </c>
      <c r="D80" s="50" t="s">
        <v>193</v>
      </c>
      <c r="E80" s="62">
        <f t="shared" si="1"/>
        <v>2</v>
      </c>
    </row>
    <row r="81" spans="1:5">
      <c r="A81" s="54" t="s">
        <v>875</v>
      </c>
      <c r="B81" s="52">
        <v>77</v>
      </c>
      <c r="C81" s="53" t="s">
        <v>932</v>
      </c>
      <c r="D81" s="50" t="s">
        <v>194</v>
      </c>
      <c r="E81" s="62">
        <f t="shared" si="1"/>
        <v>2</v>
      </c>
    </row>
    <row r="82" spans="1:5">
      <c r="A82" s="52" t="s">
        <v>933</v>
      </c>
      <c r="B82" s="52">
        <v>78</v>
      </c>
      <c r="C82" s="53" t="s">
        <v>934</v>
      </c>
      <c r="D82" s="50" t="s">
        <v>817</v>
      </c>
      <c r="E82" s="62">
        <f t="shared" si="1"/>
        <v>3</v>
      </c>
    </row>
    <row r="83" spans="1:5">
      <c r="A83" s="52" t="s">
        <v>935</v>
      </c>
      <c r="B83" s="52">
        <v>79</v>
      </c>
      <c r="C83" s="53" t="s">
        <v>7</v>
      </c>
      <c r="D83" s="50" t="s">
        <v>195</v>
      </c>
      <c r="E83" s="62">
        <f t="shared" si="1"/>
        <v>1</v>
      </c>
    </row>
    <row r="84" spans="1:5">
      <c r="A84" s="54" t="s">
        <v>876</v>
      </c>
      <c r="B84" s="52">
        <v>80</v>
      </c>
      <c r="C84" s="49" t="s">
        <v>986</v>
      </c>
      <c r="D84" s="50" t="s">
        <v>196</v>
      </c>
      <c r="E84" s="62">
        <f t="shared" si="1"/>
        <v>2</v>
      </c>
    </row>
    <row r="85" spans="1:5">
      <c r="A85" s="54" t="s">
        <v>877</v>
      </c>
      <c r="B85" s="52">
        <v>81</v>
      </c>
      <c r="C85" s="49" t="s">
        <v>987</v>
      </c>
      <c r="D85" s="50" t="s">
        <v>197</v>
      </c>
      <c r="E85" s="62">
        <f t="shared" si="1"/>
        <v>2</v>
      </c>
    </row>
    <row r="86" spans="1:5">
      <c r="A86" s="56" t="s">
        <v>878</v>
      </c>
      <c r="B86" s="52">
        <v>82</v>
      </c>
      <c r="C86" s="49" t="s">
        <v>988</v>
      </c>
      <c r="D86" s="50" t="s">
        <v>198</v>
      </c>
      <c r="E86" s="62">
        <f t="shared" si="1"/>
        <v>2</v>
      </c>
    </row>
    <row r="87" spans="1:5">
      <c r="A87" s="52" t="s">
        <v>936</v>
      </c>
      <c r="B87" s="52">
        <v>83</v>
      </c>
      <c r="C87" s="53" t="s">
        <v>8</v>
      </c>
      <c r="D87" s="50" t="s">
        <v>199</v>
      </c>
      <c r="E87" s="62">
        <f t="shared" si="1"/>
        <v>1</v>
      </c>
    </row>
    <row r="88" spans="1:5">
      <c r="A88" s="52" t="s">
        <v>879</v>
      </c>
      <c r="B88" s="52">
        <v>84</v>
      </c>
      <c r="C88" s="53" t="s">
        <v>937</v>
      </c>
      <c r="D88" s="50" t="s">
        <v>200</v>
      </c>
      <c r="E88" s="62">
        <f t="shared" si="1"/>
        <v>2</v>
      </c>
    </row>
    <row r="89" spans="1:5">
      <c r="A89" s="52" t="s">
        <v>938</v>
      </c>
      <c r="B89" s="52">
        <v>85</v>
      </c>
      <c r="C89" s="53" t="s">
        <v>939</v>
      </c>
      <c r="D89" s="50" t="s">
        <v>213</v>
      </c>
      <c r="E89" s="62">
        <f t="shared" si="1"/>
        <v>5</v>
      </c>
    </row>
    <row r="90" spans="1:5">
      <c r="A90" s="56" t="s">
        <v>880</v>
      </c>
      <c r="B90" s="52">
        <v>86</v>
      </c>
      <c r="C90" s="49" t="s">
        <v>989</v>
      </c>
      <c r="D90" s="50" t="s">
        <v>201</v>
      </c>
      <c r="E90" s="62">
        <f t="shared" si="1"/>
        <v>2</v>
      </c>
    </row>
    <row r="91" spans="1:5">
      <c r="A91" s="56" t="s">
        <v>881</v>
      </c>
      <c r="B91" s="52">
        <v>87</v>
      </c>
      <c r="C91" s="49" t="s">
        <v>990</v>
      </c>
      <c r="D91" s="50" t="s">
        <v>202</v>
      </c>
      <c r="E91" s="62">
        <f t="shared" si="1"/>
        <v>2</v>
      </c>
    </row>
    <row r="92" spans="1:5">
      <c r="A92" s="54" t="s">
        <v>882</v>
      </c>
      <c r="B92" s="52">
        <v>88</v>
      </c>
      <c r="C92" s="49" t="s">
        <v>991</v>
      </c>
      <c r="D92" s="50" t="s">
        <v>203</v>
      </c>
      <c r="E92" s="62">
        <f t="shared" si="1"/>
        <v>2</v>
      </c>
    </row>
    <row r="93" spans="1:5">
      <c r="A93" s="54" t="s">
        <v>883</v>
      </c>
      <c r="B93" s="52">
        <v>89</v>
      </c>
      <c r="C93" s="49" t="s">
        <v>992</v>
      </c>
      <c r="D93" s="50" t="s">
        <v>204</v>
      </c>
      <c r="E93" s="62">
        <f t="shared" si="1"/>
        <v>2</v>
      </c>
    </row>
    <row r="94" spans="1:5">
      <c r="A94" s="57" t="s">
        <v>884</v>
      </c>
      <c r="B94" s="52">
        <v>90</v>
      </c>
      <c r="C94" s="49" t="s">
        <v>993</v>
      </c>
      <c r="E94" s="62">
        <f t="shared" si="1"/>
        <v>22</v>
      </c>
    </row>
    <row r="95" spans="1:5">
      <c r="A95" s="57" t="s">
        <v>885</v>
      </c>
      <c r="B95" s="52">
        <v>91</v>
      </c>
      <c r="C95" s="49" t="s">
        <v>994</v>
      </c>
      <c r="E95" s="62">
        <f t="shared" si="1"/>
        <v>19</v>
      </c>
    </row>
    <row r="96" spans="1:5">
      <c r="A96" s="52" t="s">
        <v>940</v>
      </c>
      <c r="B96" s="52">
        <v>92</v>
      </c>
      <c r="C96" s="53" t="s">
        <v>941</v>
      </c>
      <c r="D96" s="50" t="s">
        <v>1003</v>
      </c>
      <c r="E96" s="62">
        <f t="shared" si="1"/>
        <v>3</v>
      </c>
    </row>
    <row r="97" spans="1:5">
      <c r="A97" s="56" t="s">
        <v>886</v>
      </c>
      <c r="B97" s="52">
        <v>93</v>
      </c>
      <c r="C97" s="53" t="s">
        <v>9</v>
      </c>
      <c r="D97" s="50" t="s">
        <v>999</v>
      </c>
      <c r="E97" s="62">
        <f t="shared" si="1"/>
        <v>1</v>
      </c>
    </row>
    <row r="98" spans="1:5">
      <c r="A98" s="54" t="s">
        <v>887</v>
      </c>
      <c r="B98" s="52">
        <v>94</v>
      </c>
      <c r="C98" s="53" t="s">
        <v>10</v>
      </c>
      <c r="D98" s="50" t="s">
        <v>205</v>
      </c>
      <c r="E98" s="62">
        <f t="shared" si="1"/>
        <v>1</v>
      </c>
    </row>
    <row r="99" spans="1:5">
      <c r="A99" s="54" t="s">
        <v>888</v>
      </c>
      <c r="B99" s="52">
        <v>95</v>
      </c>
      <c r="C99" s="53" t="s">
        <v>11</v>
      </c>
      <c r="D99" s="50" t="s">
        <v>206</v>
      </c>
      <c r="E99" s="62">
        <f t="shared" si="1"/>
        <v>1</v>
      </c>
    </row>
    <row r="100" spans="1:5">
      <c r="A100" s="52" t="s">
        <v>942</v>
      </c>
      <c r="B100" s="52">
        <v>96</v>
      </c>
      <c r="C100" s="53" t="s">
        <v>12</v>
      </c>
      <c r="D100" s="50" t="s">
        <v>1001</v>
      </c>
      <c r="E100" s="62">
        <f t="shared" si="1"/>
        <v>1</v>
      </c>
    </row>
    <row r="101" spans="1:5">
      <c r="A101" s="54" t="s">
        <v>889</v>
      </c>
      <c r="B101" s="52">
        <v>97</v>
      </c>
      <c r="C101" s="49" t="s">
        <v>995</v>
      </c>
      <c r="D101" s="50" t="s">
        <v>208</v>
      </c>
      <c r="E101" s="62">
        <f t="shared" si="1"/>
        <v>2</v>
      </c>
    </row>
    <row r="102" spans="1:5">
      <c r="A102" s="54" t="s">
        <v>890</v>
      </c>
      <c r="B102" s="52">
        <v>98</v>
      </c>
      <c r="C102" s="49" t="s">
        <v>996</v>
      </c>
      <c r="D102" s="50" t="s">
        <v>209</v>
      </c>
      <c r="E102" s="62">
        <f t="shared" si="1"/>
        <v>2</v>
      </c>
    </row>
    <row r="103" spans="1:5" ht="21">
      <c r="A103" s="4" t="s">
        <v>122</v>
      </c>
      <c r="B103" s="52">
        <v>99</v>
      </c>
      <c r="C103" s="49">
        <v>92</v>
      </c>
      <c r="D103" s="50" t="s">
        <v>210</v>
      </c>
      <c r="E103" s="62">
        <f t="shared" si="1"/>
        <v>2</v>
      </c>
    </row>
    <row r="104" spans="1:5">
      <c r="A104" s="54" t="s">
        <v>891</v>
      </c>
      <c r="B104" s="52">
        <v>100</v>
      </c>
      <c r="C104" s="49" t="s">
        <v>997</v>
      </c>
      <c r="D104" s="50" t="s">
        <v>211</v>
      </c>
      <c r="E104" s="62">
        <f t="shared" si="1"/>
        <v>2</v>
      </c>
    </row>
    <row r="105" spans="1:5">
      <c r="A105" s="56" t="s">
        <v>892</v>
      </c>
      <c r="B105" s="52">
        <v>101</v>
      </c>
      <c r="C105" s="53" t="s">
        <v>13</v>
      </c>
      <c r="D105" s="50" t="s">
        <v>212</v>
      </c>
      <c r="E105" s="62">
        <f t="shared" si="1"/>
        <v>1</v>
      </c>
    </row>
    <row r="113" spans="1:2">
      <c r="A113" s="58"/>
      <c r="B113" s="5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77"/>
  <sheetViews>
    <sheetView topLeftCell="A20" workbookViewId="0">
      <selection activeCell="E77" sqref="E77"/>
    </sheetView>
  </sheetViews>
  <sheetFormatPr defaultColWidth="35" defaultRowHeight="15"/>
  <cols>
    <col min="1" max="1" width="35" style="40"/>
    <col min="2" max="3" width="11.7109375" style="40" customWidth="1"/>
    <col min="4" max="16384" width="35" style="18"/>
  </cols>
  <sheetData>
    <row r="5" spans="1:5">
      <c r="A5" s="42" t="s">
        <v>676</v>
      </c>
      <c r="B5" s="42" t="s">
        <v>30</v>
      </c>
      <c r="C5" s="42"/>
      <c r="D5" s="17" t="s">
        <v>812</v>
      </c>
    </row>
    <row r="6" spans="1:5">
      <c r="A6" s="42" t="s">
        <v>1080</v>
      </c>
      <c r="B6" s="67">
        <v>1</v>
      </c>
      <c r="C6" s="42"/>
      <c r="D6" s="1" t="s">
        <v>138</v>
      </c>
      <c r="E6" s="18">
        <v>1</v>
      </c>
    </row>
    <row r="7" spans="1:5">
      <c r="A7" s="40" t="s">
        <v>763</v>
      </c>
      <c r="B7" s="67">
        <v>2</v>
      </c>
      <c r="D7" s="18" t="s">
        <v>764</v>
      </c>
      <c r="E7" s="18">
        <f>FIND(".",A7)</f>
        <v>4</v>
      </c>
    </row>
    <row r="8" spans="1:5">
      <c r="A8" s="40" t="s">
        <v>709</v>
      </c>
      <c r="B8" s="67">
        <v>3</v>
      </c>
      <c r="D8" s="18" t="s">
        <v>434</v>
      </c>
      <c r="E8" s="18">
        <f t="shared" ref="E8:E71" si="0">FIND(".",A8)</f>
        <v>3</v>
      </c>
    </row>
    <row r="9" spans="1:5">
      <c r="A9" s="40" t="s">
        <v>710</v>
      </c>
      <c r="B9" s="67">
        <v>4</v>
      </c>
      <c r="D9" s="18" t="s">
        <v>662</v>
      </c>
      <c r="E9" s="18">
        <f t="shared" si="0"/>
        <v>3</v>
      </c>
    </row>
    <row r="10" spans="1:5">
      <c r="A10" s="40" t="s">
        <v>711</v>
      </c>
      <c r="B10" s="67">
        <v>5</v>
      </c>
      <c r="D10" s="18" t="s">
        <v>141</v>
      </c>
      <c r="E10" s="18">
        <f t="shared" si="0"/>
        <v>3</v>
      </c>
    </row>
    <row r="11" spans="1:5">
      <c r="A11" s="40" t="s">
        <v>712</v>
      </c>
      <c r="B11" s="67">
        <v>6</v>
      </c>
      <c r="D11" s="18" t="s">
        <v>142</v>
      </c>
      <c r="E11" s="18">
        <f t="shared" si="0"/>
        <v>3</v>
      </c>
    </row>
    <row r="12" spans="1:5">
      <c r="A12" s="40" t="s">
        <v>713</v>
      </c>
      <c r="B12" s="67">
        <v>7</v>
      </c>
      <c r="D12" s="18" t="s">
        <v>813</v>
      </c>
      <c r="E12" s="18">
        <f t="shared" si="0"/>
        <v>2</v>
      </c>
    </row>
    <row r="13" spans="1:5">
      <c r="A13" s="41" t="s">
        <v>767</v>
      </c>
      <c r="B13" s="67">
        <v>8</v>
      </c>
      <c r="D13" s="18" t="s">
        <v>150</v>
      </c>
      <c r="E13" s="18">
        <f t="shared" si="0"/>
        <v>5</v>
      </c>
    </row>
    <row r="14" spans="1:5">
      <c r="A14" s="40" t="s">
        <v>714</v>
      </c>
      <c r="B14" s="67">
        <v>9</v>
      </c>
      <c r="D14" s="18" t="s">
        <v>675</v>
      </c>
      <c r="E14" s="18">
        <f t="shared" si="0"/>
        <v>3</v>
      </c>
    </row>
    <row r="15" spans="1:5">
      <c r="A15" s="40" t="s">
        <v>715</v>
      </c>
      <c r="B15" s="67">
        <v>10</v>
      </c>
      <c r="D15" s="18" t="s">
        <v>674</v>
      </c>
      <c r="E15" s="18">
        <f t="shared" si="0"/>
        <v>3</v>
      </c>
    </row>
    <row r="16" spans="1:5">
      <c r="A16" s="40" t="s">
        <v>716</v>
      </c>
      <c r="B16" s="67">
        <v>11</v>
      </c>
      <c r="D16" s="18" t="s">
        <v>155</v>
      </c>
      <c r="E16" s="18">
        <f t="shared" si="0"/>
        <v>3</v>
      </c>
    </row>
    <row r="17" spans="1:5">
      <c r="A17" s="40" t="s">
        <v>717</v>
      </c>
      <c r="B17" s="67">
        <v>12</v>
      </c>
      <c r="D17" s="18" t="s">
        <v>156</v>
      </c>
      <c r="E17" s="18">
        <f t="shared" si="0"/>
        <v>3</v>
      </c>
    </row>
    <row r="18" spans="1:5">
      <c r="A18" s="40" t="s">
        <v>718</v>
      </c>
      <c r="B18" s="67">
        <v>13</v>
      </c>
      <c r="D18" s="18" t="s">
        <v>157</v>
      </c>
      <c r="E18" s="18">
        <f t="shared" si="0"/>
        <v>3</v>
      </c>
    </row>
    <row r="19" spans="1:5">
      <c r="A19" s="40" t="s">
        <v>719</v>
      </c>
      <c r="B19" s="67">
        <v>14</v>
      </c>
      <c r="D19" s="18" t="s">
        <v>158</v>
      </c>
      <c r="E19" s="18">
        <f t="shared" si="0"/>
        <v>3</v>
      </c>
    </row>
    <row r="20" spans="1:5">
      <c r="A20" s="40" t="s">
        <v>720</v>
      </c>
      <c r="B20" s="67">
        <v>15</v>
      </c>
      <c r="D20" s="18" t="s">
        <v>160</v>
      </c>
      <c r="E20" s="18">
        <f t="shared" si="0"/>
        <v>3</v>
      </c>
    </row>
    <row r="21" spans="1:5">
      <c r="A21" s="40" t="s">
        <v>721</v>
      </c>
      <c r="B21" s="67">
        <v>16</v>
      </c>
      <c r="D21" s="18" t="s">
        <v>161</v>
      </c>
      <c r="E21" s="18">
        <f t="shared" si="0"/>
        <v>3</v>
      </c>
    </row>
    <row r="22" spans="1:5">
      <c r="A22" s="40" t="s">
        <v>722</v>
      </c>
      <c r="B22" s="67">
        <v>17</v>
      </c>
      <c r="D22" s="18" t="s">
        <v>162</v>
      </c>
      <c r="E22" s="18">
        <f t="shared" si="0"/>
        <v>3</v>
      </c>
    </row>
    <row r="23" spans="1:5">
      <c r="A23" s="40" t="s">
        <v>1092</v>
      </c>
      <c r="B23" s="67">
        <v>18</v>
      </c>
      <c r="C23" s="40" t="s">
        <v>1093</v>
      </c>
      <c r="D23" s="18" t="s">
        <v>163</v>
      </c>
      <c r="E23" s="18">
        <f t="shared" si="0"/>
        <v>6</v>
      </c>
    </row>
    <row r="24" spans="1:5">
      <c r="A24" s="40" t="s">
        <v>723</v>
      </c>
      <c r="B24" s="67">
        <v>19</v>
      </c>
      <c r="D24" s="18" t="s">
        <v>1040</v>
      </c>
      <c r="E24" s="18">
        <f t="shared" si="0"/>
        <v>3</v>
      </c>
    </row>
    <row r="25" spans="1:5">
      <c r="A25" s="40" t="s">
        <v>1091</v>
      </c>
      <c r="B25" s="67">
        <v>20</v>
      </c>
      <c r="C25" s="40" t="s">
        <v>1090</v>
      </c>
      <c r="D25" s="18" t="s">
        <v>164</v>
      </c>
      <c r="E25" s="18">
        <f t="shared" si="0"/>
        <v>6</v>
      </c>
    </row>
    <row r="26" spans="1:5">
      <c r="A26" s="40" t="s">
        <v>724</v>
      </c>
      <c r="B26" s="67">
        <v>21</v>
      </c>
      <c r="D26" s="18" t="s">
        <v>165</v>
      </c>
      <c r="E26" s="18">
        <f t="shared" si="0"/>
        <v>3</v>
      </c>
    </row>
    <row r="27" spans="1:5">
      <c r="A27" s="40" t="s">
        <v>725</v>
      </c>
      <c r="B27" s="67">
        <v>22</v>
      </c>
      <c r="D27" s="18" t="s">
        <v>167</v>
      </c>
      <c r="E27" s="18">
        <f t="shared" si="0"/>
        <v>3</v>
      </c>
    </row>
    <row r="28" spans="1:5">
      <c r="A28" s="40" t="s">
        <v>726</v>
      </c>
      <c r="B28" s="67">
        <v>23</v>
      </c>
      <c r="D28" s="18" t="s">
        <v>168</v>
      </c>
      <c r="E28" s="18">
        <f t="shared" si="0"/>
        <v>3</v>
      </c>
    </row>
    <row r="29" spans="1:5">
      <c r="A29" s="40" t="s">
        <v>727</v>
      </c>
      <c r="B29" s="67">
        <v>24</v>
      </c>
      <c r="D29" s="18" t="s">
        <v>173</v>
      </c>
      <c r="E29" s="18">
        <f t="shared" si="0"/>
        <v>3</v>
      </c>
    </row>
    <row r="30" spans="1:5">
      <c r="A30" s="40" t="s">
        <v>728</v>
      </c>
      <c r="B30" s="67">
        <v>25</v>
      </c>
      <c r="D30" s="18" t="s">
        <v>765</v>
      </c>
      <c r="E30" s="18">
        <f t="shared" si="0"/>
        <v>3</v>
      </c>
    </row>
    <row r="31" spans="1:5">
      <c r="A31" s="40" t="s">
        <v>729</v>
      </c>
      <c r="B31" s="67">
        <v>26</v>
      </c>
      <c r="D31" s="18" t="s">
        <v>172</v>
      </c>
      <c r="E31" s="18">
        <f t="shared" si="0"/>
        <v>3</v>
      </c>
    </row>
    <row r="32" spans="1:5">
      <c r="A32" s="40" t="s">
        <v>730</v>
      </c>
      <c r="B32" s="67">
        <v>27</v>
      </c>
      <c r="D32" s="18" t="s">
        <v>169</v>
      </c>
      <c r="E32" s="18">
        <f t="shared" si="0"/>
        <v>3</v>
      </c>
    </row>
    <row r="33" spans="1:5">
      <c r="A33" s="40" t="s">
        <v>731</v>
      </c>
      <c r="B33" s="67">
        <v>28</v>
      </c>
      <c r="D33" s="18" t="s">
        <v>176</v>
      </c>
      <c r="E33" s="18">
        <f t="shared" si="0"/>
        <v>3</v>
      </c>
    </row>
    <row r="34" spans="1:5">
      <c r="A34" s="40" t="s">
        <v>732</v>
      </c>
      <c r="B34" s="67">
        <v>29</v>
      </c>
      <c r="D34" s="18" t="s">
        <v>177</v>
      </c>
      <c r="E34" s="18">
        <f t="shared" si="0"/>
        <v>3</v>
      </c>
    </row>
    <row r="35" spans="1:5">
      <c r="A35" s="40" t="s">
        <v>1094</v>
      </c>
      <c r="B35" s="67">
        <v>30</v>
      </c>
      <c r="C35" s="40" t="s">
        <v>1095</v>
      </c>
      <c r="D35" s="18" t="s">
        <v>178</v>
      </c>
      <c r="E35" s="18">
        <f t="shared" si="0"/>
        <v>6</v>
      </c>
    </row>
    <row r="36" spans="1:5">
      <c r="A36" s="41" t="s">
        <v>768</v>
      </c>
      <c r="B36" s="67">
        <v>31</v>
      </c>
      <c r="D36" s="18" t="s">
        <v>778</v>
      </c>
      <c r="E36" s="18">
        <f t="shared" si="0"/>
        <v>5</v>
      </c>
    </row>
    <row r="37" spans="1:5">
      <c r="A37" s="40" t="s">
        <v>733</v>
      </c>
      <c r="B37" s="67">
        <v>32</v>
      </c>
      <c r="D37" s="18" t="s">
        <v>670</v>
      </c>
      <c r="E37" s="18">
        <f t="shared" si="0"/>
        <v>3</v>
      </c>
    </row>
    <row r="38" spans="1:5">
      <c r="A38" s="40" t="s">
        <v>734</v>
      </c>
      <c r="B38" s="67">
        <v>33</v>
      </c>
      <c r="D38" s="18" t="s">
        <v>668</v>
      </c>
      <c r="E38" s="18">
        <f t="shared" si="0"/>
        <v>3</v>
      </c>
    </row>
    <row r="39" spans="1:5">
      <c r="A39" s="41" t="s">
        <v>769</v>
      </c>
      <c r="B39" s="67">
        <v>34</v>
      </c>
      <c r="D39" s="18" t="s">
        <v>1069</v>
      </c>
      <c r="E39" s="18">
        <f t="shared" si="0"/>
        <v>5</v>
      </c>
    </row>
    <row r="40" spans="1:5">
      <c r="A40" s="40" t="s">
        <v>735</v>
      </c>
      <c r="B40" s="67">
        <v>35</v>
      </c>
      <c r="D40" s="18" t="s">
        <v>669</v>
      </c>
      <c r="E40" s="18">
        <f t="shared" si="0"/>
        <v>3</v>
      </c>
    </row>
    <row r="41" spans="1:5">
      <c r="A41" s="40" t="s">
        <v>736</v>
      </c>
      <c r="B41" s="67">
        <v>36</v>
      </c>
      <c r="D41" s="18" t="s">
        <v>208</v>
      </c>
      <c r="E41" s="18">
        <f t="shared" si="0"/>
        <v>3</v>
      </c>
    </row>
    <row r="42" spans="1:5">
      <c r="A42" s="40" t="s">
        <v>737</v>
      </c>
      <c r="B42" s="67">
        <v>37</v>
      </c>
      <c r="D42" s="18" t="s">
        <v>183</v>
      </c>
      <c r="E42" s="18">
        <f t="shared" si="0"/>
        <v>2</v>
      </c>
    </row>
    <row r="43" spans="1:5">
      <c r="A43" s="41" t="s">
        <v>770</v>
      </c>
      <c r="B43" s="67">
        <v>38</v>
      </c>
      <c r="D43" s="18" t="s">
        <v>184</v>
      </c>
      <c r="E43" s="18">
        <f t="shared" si="0"/>
        <v>5</v>
      </c>
    </row>
    <row r="44" spans="1:5">
      <c r="A44" s="40" t="s">
        <v>738</v>
      </c>
      <c r="B44" s="67">
        <v>39</v>
      </c>
      <c r="D44" s="18" t="s">
        <v>186</v>
      </c>
      <c r="E44" s="18">
        <f t="shared" si="0"/>
        <v>3</v>
      </c>
    </row>
    <row r="45" spans="1:5">
      <c r="A45" s="40" t="s">
        <v>739</v>
      </c>
      <c r="B45" s="67">
        <v>40</v>
      </c>
      <c r="D45" s="18" t="s">
        <v>1070</v>
      </c>
      <c r="E45" s="18">
        <f t="shared" si="0"/>
        <v>3</v>
      </c>
    </row>
    <row r="46" spans="1:5">
      <c r="A46" s="41" t="s">
        <v>771</v>
      </c>
      <c r="B46" s="67">
        <v>41</v>
      </c>
      <c r="D46" s="18" t="s">
        <v>1071</v>
      </c>
      <c r="E46" s="18">
        <f t="shared" si="0"/>
        <v>5</v>
      </c>
    </row>
    <row r="47" spans="1:5">
      <c r="A47" s="40" t="s">
        <v>740</v>
      </c>
      <c r="B47" s="67">
        <v>42</v>
      </c>
      <c r="D47" s="18" t="s">
        <v>190</v>
      </c>
      <c r="E47" s="18">
        <f t="shared" si="0"/>
        <v>3</v>
      </c>
    </row>
    <row r="48" spans="1:5">
      <c r="A48" s="40" t="s">
        <v>741</v>
      </c>
      <c r="B48" s="67">
        <v>43</v>
      </c>
      <c r="D48" s="18" t="s">
        <v>191</v>
      </c>
      <c r="E48" s="18">
        <f t="shared" si="0"/>
        <v>3</v>
      </c>
    </row>
    <row r="49" spans="1:5">
      <c r="A49" s="40" t="s">
        <v>742</v>
      </c>
      <c r="B49" s="67">
        <v>44</v>
      </c>
      <c r="D49" s="18" t="s">
        <v>192</v>
      </c>
      <c r="E49" s="18">
        <f t="shared" si="0"/>
        <v>3</v>
      </c>
    </row>
    <row r="50" spans="1:5">
      <c r="A50" s="40" t="s">
        <v>743</v>
      </c>
      <c r="B50" s="67">
        <v>45</v>
      </c>
      <c r="D50" s="18" t="s">
        <v>193</v>
      </c>
      <c r="E50" s="18">
        <f t="shared" si="0"/>
        <v>3</v>
      </c>
    </row>
    <row r="51" spans="1:5">
      <c r="A51" s="40" t="s">
        <v>744</v>
      </c>
      <c r="B51" s="67">
        <v>46</v>
      </c>
      <c r="D51" s="18" t="s">
        <v>194</v>
      </c>
      <c r="E51" s="18">
        <f t="shared" si="0"/>
        <v>3</v>
      </c>
    </row>
    <row r="52" spans="1:5">
      <c r="A52" s="41" t="s">
        <v>772</v>
      </c>
      <c r="B52" s="67">
        <v>47</v>
      </c>
      <c r="D52" s="18" t="s">
        <v>188</v>
      </c>
      <c r="E52" s="18">
        <f t="shared" si="0"/>
        <v>5</v>
      </c>
    </row>
    <row r="53" spans="1:5">
      <c r="A53" s="40" t="s">
        <v>745</v>
      </c>
      <c r="B53" s="67">
        <v>48</v>
      </c>
      <c r="E53" s="18">
        <f t="shared" si="0"/>
        <v>3</v>
      </c>
    </row>
    <row r="54" spans="1:5">
      <c r="A54" s="40" t="s">
        <v>746</v>
      </c>
      <c r="B54" s="67">
        <v>49</v>
      </c>
      <c r="E54" s="18">
        <f t="shared" si="0"/>
        <v>3</v>
      </c>
    </row>
    <row r="55" spans="1:5">
      <c r="A55" s="41" t="s">
        <v>773</v>
      </c>
      <c r="B55" s="67">
        <v>50</v>
      </c>
      <c r="D55" s="18" t="s">
        <v>1073</v>
      </c>
      <c r="E55" s="18">
        <f t="shared" si="0"/>
        <v>5</v>
      </c>
    </row>
    <row r="56" spans="1:5">
      <c r="A56" s="40" t="s">
        <v>747</v>
      </c>
      <c r="B56" s="67">
        <v>51</v>
      </c>
      <c r="D56" s="18" t="s">
        <v>1072</v>
      </c>
      <c r="E56" s="18">
        <f t="shared" si="0"/>
        <v>3</v>
      </c>
    </row>
    <row r="57" spans="1:5">
      <c r="A57" s="40" t="s">
        <v>748</v>
      </c>
      <c r="B57" s="67">
        <v>52</v>
      </c>
      <c r="D57" s="18" t="s">
        <v>194</v>
      </c>
      <c r="E57" s="18">
        <f t="shared" si="0"/>
        <v>3</v>
      </c>
    </row>
    <row r="58" spans="1:5">
      <c r="A58" s="40" t="s">
        <v>749</v>
      </c>
      <c r="B58" s="67">
        <v>53</v>
      </c>
      <c r="D58" s="18" t="s">
        <v>202</v>
      </c>
      <c r="E58" s="18">
        <f t="shared" si="0"/>
        <v>3</v>
      </c>
    </row>
    <row r="59" spans="1:5">
      <c r="A59" s="41" t="s">
        <v>774</v>
      </c>
      <c r="B59" s="67">
        <v>54</v>
      </c>
      <c r="D59" s="18" t="s">
        <v>195</v>
      </c>
      <c r="E59" s="18">
        <f t="shared" si="0"/>
        <v>5</v>
      </c>
    </row>
    <row r="60" spans="1:5">
      <c r="A60" s="40" t="s">
        <v>750</v>
      </c>
      <c r="B60" s="67">
        <v>55</v>
      </c>
      <c r="D60" s="18" t="s">
        <v>196</v>
      </c>
      <c r="E60" s="18">
        <f t="shared" si="0"/>
        <v>3</v>
      </c>
    </row>
    <row r="61" spans="1:5">
      <c r="A61" s="40" t="s">
        <v>751</v>
      </c>
      <c r="B61" s="67">
        <v>56</v>
      </c>
      <c r="D61" s="18" t="s">
        <v>197</v>
      </c>
      <c r="E61" s="18">
        <f t="shared" si="0"/>
        <v>3</v>
      </c>
    </row>
    <row r="62" spans="1:5">
      <c r="A62" s="40" t="s">
        <v>752</v>
      </c>
      <c r="B62" s="67">
        <v>57</v>
      </c>
      <c r="D62" s="18" t="s">
        <v>198</v>
      </c>
      <c r="E62" s="18">
        <f t="shared" si="0"/>
        <v>3</v>
      </c>
    </row>
    <row r="63" spans="1:5">
      <c r="A63" s="41" t="s">
        <v>775</v>
      </c>
      <c r="B63" s="67">
        <v>58</v>
      </c>
      <c r="D63" s="18" t="s">
        <v>200</v>
      </c>
      <c r="E63" s="18">
        <f t="shared" si="0"/>
        <v>5</v>
      </c>
    </row>
    <row r="64" spans="1:5">
      <c r="A64" s="40" t="s">
        <v>753</v>
      </c>
      <c r="B64" s="67">
        <v>59</v>
      </c>
      <c r="E64" s="18">
        <f t="shared" si="0"/>
        <v>3</v>
      </c>
    </row>
    <row r="65" spans="1:5">
      <c r="A65" s="40" t="s">
        <v>754</v>
      </c>
      <c r="B65" s="67">
        <v>60</v>
      </c>
      <c r="E65" s="18">
        <f t="shared" si="0"/>
        <v>3</v>
      </c>
    </row>
    <row r="66" spans="1:5" s="17" customFormat="1">
      <c r="A66" s="70" t="s">
        <v>1099</v>
      </c>
      <c r="B66" s="67">
        <v>61</v>
      </c>
      <c r="C66" s="40"/>
      <c r="D66" s="18" t="s">
        <v>1051</v>
      </c>
      <c r="E66" s="18">
        <v>7</v>
      </c>
    </row>
    <row r="67" spans="1:5" s="17" customFormat="1">
      <c r="A67" s="70" t="s">
        <v>1100</v>
      </c>
      <c r="B67" s="67">
        <v>62</v>
      </c>
      <c r="C67" s="40"/>
      <c r="D67" s="18" t="s">
        <v>201</v>
      </c>
      <c r="E67" s="18">
        <f t="shared" si="0"/>
        <v>2</v>
      </c>
    </row>
    <row r="68" spans="1:5">
      <c r="A68" s="40" t="s">
        <v>755</v>
      </c>
      <c r="B68" s="67">
        <v>63</v>
      </c>
      <c r="D68" s="18" t="s">
        <v>999</v>
      </c>
      <c r="E68" s="18">
        <f t="shared" si="0"/>
        <v>2</v>
      </c>
    </row>
    <row r="69" spans="1:5">
      <c r="A69" s="40" t="s">
        <v>756</v>
      </c>
      <c r="B69" s="67">
        <v>64</v>
      </c>
      <c r="D69" s="18" t="s">
        <v>205</v>
      </c>
      <c r="E69" s="18">
        <f t="shared" si="0"/>
        <v>2</v>
      </c>
    </row>
    <row r="70" spans="1:5">
      <c r="A70" s="41" t="s">
        <v>776</v>
      </c>
      <c r="B70" s="67">
        <v>65</v>
      </c>
      <c r="D70" s="18" t="s">
        <v>206</v>
      </c>
      <c r="E70" s="18">
        <f t="shared" si="0"/>
        <v>5</v>
      </c>
    </row>
    <row r="71" spans="1:5">
      <c r="A71" s="40" t="s">
        <v>757</v>
      </c>
      <c r="B71" s="67">
        <v>66</v>
      </c>
      <c r="E71" s="18">
        <f t="shared" si="0"/>
        <v>3</v>
      </c>
    </row>
    <row r="72" spans="1:5">
      <c r="A72" s="40" t="s">
        <v>758</v>
      </c>
      <c r="B72" s="67">
        <v>67</v>
      </c>
      <c r="E72" s="18">
        <f t="shared" ref="E72:E77" si="1">FIND(".",A72)</f>
        <v>3</v>
      </c>
    </row>
    <row r="73" spans="1:5">
      <c r="A73" s="40" t="s">
        <v>759</v>
      </c>
      <c r="B73" s="67">
        <v>68</v>
      </c>
      <c r="D73" s="18" t="s">
        <v>210</v>
      </c>
      <c r="E73" s="18">
        <f t="shared" si="1"/>
        <v>2</v>
      </c>
    </row>
    <row r="74" spans="1:5">
      <c r="A74" s="41" t="s">
        <v>777</v>
      </c>
      <c r="B74" s="67">
        <v>69</v>
      </c>
      <c r="D74" s="18" t="s">
        <v>1082</v>
      </c>
      <c r="E74" s="18">
        <f t="shared" si="1"/>
        <v>5</v>
      </c>
    </row>
    <row r="75" spans="1:5">
      <c r="A75" s="40" t="s">
        <v>760</v>
      </c>
      <c r="B75" s="67">
        <v>70</v>
      </c>
      <c r="D75" s="18" t="s">
        <v>209</v>
      </c>
      <c r="E75" s="18">
        <f t="shared" si="1"/>
        <v>3</v>
      </c>
    </row>
    <row r="76" spans="1:5">
      <c r="A76" s="40" t="s">
        <v>761</v>
      </c>
      <c r="B76" s="67">
        <v>71</v>
      </c>
      <c r="D76" s="18" t="s">
        <v>212</v>
      </c>
      <c r="E76" s="18">
        <f t="shared" si="1"/>
        <v>3</v>
      </c>
    </row>
    <row r="77" spans="1:5">
      <c r="A77" s="40" t="s">
        <v>762</v>
      </c>
      <c r="B77" s="67">
        <v>72</v>
      </c>
      <c r="D77" s="18" t="s">
        <v>211</v>
      </c>
      <c r="E77" s="18">
        <f t="shared" si="1"/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114"/>
  <sheetViews>
    <sheetView topLeftCell="B88" workbookViewId="0">
      <selection activeCell="E111" sqref="E111"/>
    </sheetView>
  </sheetViews>
  <sheetFormatPr defaultRowHeight="15"/>
  <cols>
    <col min="1" max="1" width="26.7109375" hidden="1" customWidth="1"/>
    <col min="2" max="2" width="26.7109375" customWidth="1"/>
    <col min="3" max="3" width="0" hidden="1" customWidth="1"/>
    <col min="4" max="4" width="42.85546875" style="8" customWidth="1"/>
  </cols>
  <sheetData>
    <row r="1" spans="1:5">
      <c r="A1" s="3"/>
      <c r="B1" s="3"/>
    </row>
    <row r="2" spans="1:5">
      <c r="A2" s="3"/>
      <c r="B2" s="3"/>
    </row>
    <row r="3" spans="1:5">
      <c r="A3" s="3"/>
      <c r="B3" s="3"/>
    </row>
    <row r="4" spans="1:5">
      <c r="A4" s="3" t="s">
        <v>305</v>
      </c>
      <c r="B4" s="3" t="s">
        <v>305</v>
      </c>
      <c r="D4" s="2" t="s">
        <v>307</v>
      </c>
    </row>
    <row r="5" spans="1:5">
      <c r="A5" s="4" t="s">
        <v>31</v>
      </c>
      <c r="B5" s="4" t="s">
        <v>214</v>
      </c>
      <c r="D5" s="1" t="s">
        <v>138</v>
      </c>
      <c r="E5">
        <f>FIND("C",A5)</f>
        <v>1</v>
      </c>
    </row>
    <row r="6" spans="1:5" ht="31.5">
      <c r="A6" s="4" t="s">
        <v>32</v>
      </c>
      <c r="B6" s="4" t="s">
        <v>215</v>
      </c>
      <c r="D6" s="1" t="s">
        <v>660</v>
      </c>
      <c r="E6">
        <f t="shared" ref="E6:E69" si="0">FIND("C",A6)</f>
        <v>3</v>
      </c>
    </row>
    <row r="7" spans="1:5" ht="21">
      <c r="A7" s="4" t="s">
        <v>33</v>
      </c>
      <c r="B7" s="4" t="s">
        <v>216</v>
      </c>
      <c r="D7" s="1" t="s">
        <v>139</v>
      </c>
      <c r="E7">
        <f t="shared" si="0"/>
        <v>5</v>
      </c>
    </row>
    <row r="8" spans="1:5" ht="21">
      <c r="A8" s="4" t="s">
        <v>34</v>
      </c>
      <c r="B8" s="4" t="s">
        <v>257</v>
      </c>
      <c r="D8" s="1" t="s">
        <v>140</v>
      </c>
      <c r="E8">
        <f t="shared" si="0"/>
        <v>7</v>
      </c>
    </row>
    <row r="9" spans="1:5" ht="21">
      <c r="A9" s="4" t="s">
        <v>35</v>
      </c>
      <c r="B9" s="4" t="s">
        <v>258</v>
      </c>
      <c r="D9" s="1" t="s">
        <v>141</v>
      </c>
      <c r="E9">
        <f t="shared" si="0"/>
        <v>7</v>
      </c>
    </row>
    <row r="10" spans="1:5" ht="31.5">
      <c r="A10" s="4" t="s">
        <v>36</v>
      </c>
      <c r="B10" s="4" t="s">
        <v>259</v>
      </c>
      <c r="D10" s="1" t="s">
        <v>142</v>
      </c>
      <c r="E10">
        <f t="shared" si="0"/>
        <v>5</v>
      </c>
    </row>
    <row r="11" spans="1:5" ht="21">
      <c r="A11" s="4" t="s">
        <v>37</v>
      </c>
      <c r="B11" s="4" t="s">
        <v>217</v>
      </c>
      <c r="D11" s="1" t="s">
        <v>813</v>
      </c>
      <c r="E11">
        <f t="shared" si="0"/>
        <v>3</v>
      </c>
    </row>
    <row r="12" spans="1:5" ht="31.5">
      <c r="A12" s="4" t="s">
        <v>38</v>
      </c>
      <c r="B12" s="4" t="s">
        <v>218</v>
      </c>
      <c r="D12" s="1" t="s">
        <v>143</v>
      </c>
      <c r="E12">
        <f t="shared" si="0"/>
        <v>5</v>
      </c>
    </row>
    <row r="13" spans="1:5" ht="21">
      <c r="A13" s="4" t="s">
        <v>39</v>
      </c>
      <c r="B13" s="4" t="s">
        <v>260</v>
      </c>
      <c r="D13" s="1" t="s">
        <v>144</v>
      </c>
      <c r="E13">
        <f t="shared" si="0"/>
        <v>7</v>
      </c>
    </row>
    <row r="14" spans="1:5" ht="31.5">
      <c r="A14" s="4" t="s">
        <v>40</v>
      </c>
      <c r="B14" s="4" t="s">
        <v>261</v>
      </c>
      <c r="D14" s="1" t="s">
        <v>145</v>
      </c>
      <c r="E14">
        <f t="shared" si="0"/>
        <v>7</v>
      </c>
    </row>
    <row r="15" spans="1:5" ht="21">
      <c r="A15" s="4" t="s">
        <v>41</v>
      </c>
      <c r="B15" s="4" t="s">
        <v>262</v>
      </c>
      <c r="D15" s="1" t="s">
        <v>146</v>
      </c>
      <c r="E15">
        <f t="shared" si="0"/>
        <v>7</v>
      </c>
    </row>
    <row r="16" spans="1:5" ht="31.5">
      <c r="A16" s="4" t="s">
        <v>42</v>
      </c>
      <c r="B16" s="4" t="s">
        <v>219</v>
      </c>
      <c r="D16" s="1" t="s">
        <v>147</v>
      </c>
      <c r="E16">
        <f t="shared" si="0"/>
        <v>5</v>
      </c>
    </row>
    <row r="17" spans="1:5">
      <c r="A17" s="4" t="s">
        <v>43</v>
      </c>
      <c r="B17" s="4" t="s">
        <v>263</v>
      </c>
      <c r="D17" s="1" t="s">
        <v>148</v>
      </c>
      <c r="E17">
        <f t="shared" si="0"/>
        <v>7</v>
      </c>
    </row>
    <row r="18" spans="1:5" ht="21">
      <c r="A18" s="4" t="s">
        <v>44</v>
      </c>
      <c r="B18" s="4" t="s">
        <v>264</v>
      </c>
      <c r="D18" s="1" t="s">
        <v>149</v>
      </c>
      <c r="E18">
        <f t="shared" si="0"/>
        <v>7</v>
      </c>
    </row>
    <row r="19" spans="1:5">
      <c r="A19" s="4" t="s">
        <v>45</v>
      </c>
      <c r="B19" s="4" t="s">
        <v>220</v>
      </c>
      <c r="D19" s="1" t="s">
        <v>150</v>
      </c>
      <c r="E19">
        <f t="shared" si="0"/>
        <v>3</v>
      </c>
    </row>
    <row r="20" spans="1:5" ht="21">
      <c r="A20" s="4" t="s">
        <v>46</v>
      </c>
      <c r="B20" s="4" t="s">
        <v>221</v>
      </c>
      <c r="D20" s="1" t="s">
        <v>151</v>
      </c>
      <c r="E20">
        <f t="shared" si="0"/>
        <v>5</v>
      </c>
    </row>
    <row r="21" spans="1:5" ht="21">
      <c r="A21" s="4" t="s">
        <v>47</v>
      </c>
      <c r="B21" s="4" t="s">
        <v>265</v>
      </c>
      <c r="D21" s="1" t="s">
        <v>152</v>
      </c>
      <c r="E21">
        <f t="shared" si="0"/>
        <v>7</v>
      </c>
    </row>
    <row r="22" spans="1:5">
      <c r="A22" s="4" t="s">
        <v>48</v>
      </c>
      <c r="B22" s="4" t="s">
        <v>14</v>
      </c>
      <c r="D22" s="1" t="s">
        <v>153</v>
      </c>
      <c r="E22">
        <f t="shared" si="0"/>
        <v>7</v>
      </c>
    </row>
    <row r="23" spans="1:5" ht="21">
      <c r="A23" s="4" t="s">
        <v>49</v>
      </c>
      <c r="B23" s="4" t="s">
        <v>222</v>
      </c>
      <c r="D23" s="1" t="s">
        <v>814</v>
      </c>
      <c r="E23">
        <f t="shared" si="0"/>
        <v>5</v>
      </c>
    </row>
    <row r="24" spans="1:5" ht="21">
      <c r="A24" s="4" t="s">
        <v>50</v>
      </c>
      <c r="B24" s="4" t="s">
        <v>223</v>
      </c>
      <c r="D24" s="1" t="s">
        <v>154</v>
      </c>
      <c r="E24">
        <f t="shared" si="0"/>
        <v>7</v>
      </c>
    </row>
    <row r="25" spans="1:5">
      <c r="A25" s="4" t="s">
        <v>51</v>
      </c>
      <c r="B25" s="4" t="s">
        <v>15</v>
      </c>
      <c r="D25" s="1" t="s">
        <v>155</v>
      </c>
      <c r="E25">
        <f t="shared" si="0"/>
        <v>9</v>
      </c>
    </row>
    <row r="26" spans="1:5" ht="21">
      <c r="A26" s="4" t="s">
        <v>52</v>
      </c>
      <c r="B26" s="4" t="s">
        <v>16</v>
      </c>
      <c r="D26" s="1" t="s">
        <v>156</v>
      </c>
      <c r="E26">
        <f t="shared" si="0"/>
        <v>9</v>
      </c>
    </row>
    <row r="27" spans="1:5" ht="21">
      <c r="A27" s="4" t="s">
        <v>53</v>
      </c>
      <c r="B27" s="4" t="s">
        <v>17</v>
      </c>
      <c r="D27" s="1" t="s">
        <v>157</v>
      </c>
      <c r="E27">
        <f t="shared" si="0"/>
        <v>7</v>
      </c>
    </row>
    <row r="28" spans="1:5" ht="21">
      <c r="A28" s="4" t="s">
        <v>54</v>
      </c>
      <c r="B28" s="4" t="s">
        <v>18</v>
      </c>
      <c r="D28" s="1" t="s">
        <v>158</v>
      </c>
      <c r="E28">
        <f t="shared" si="0"/>
        <v>5</v>
      </c>
    </row>
    <row r="29" spans="1:5" ht="31.5">
      <c r="A29" s="4" t="s">
        <v>55</v>
      </c>
      <c r="B29" s="4" t="s">
        <v>224</v>
      </c>
      <c r="D29" s="1" t="s">
        <v>159</v>
      </c>
      <c r="E29">
        <f t="shared" si="0"/>
        <v>5</v>
      </c>
    </row>
    <row r="30" spans="1:5" ht="21">
      <c r="A30" s="4" t="s">
        <v>56</v>
      </c>
      <c r="B30" s="4" t="s">
        <v>19</v>
      </c>
      <c r="D30" s="1" t="s">
        <v>160</v>
      </c>
      <c r="E30">
        <f t="shared" si="0"/>
        <v>7</v>
      </c>
    </row>
    <row r="31" spans="1:5" ht="21">
      <c r="A31" s="4" t="s">
        <v>57</v>
      </c>
      <c r="B31" s="4" t="s">
        <v>20</v>
      </c>
      <c r="D31" s="1" t="s">
        <v>161</v>
      </c>
      <c r="E31">
        <f t="shared" si="0"/>
        <v>7</v>
      </c>
    </row>
    <row r="32" spans="1:5" ht="21">
      <c r="A32" s="4" t="s">
        <v>58</v>
      </c>
      <c r="B32" s="4" t="s">
        <v>225</v>
      </c>
      <c r="D32" s="1" t="s">
        <v>815</v>
      </c>
      <c r="E32">
        <f t="shared" si="0"/>
        <v>5</v>
      </c>
    </row>
    <row r="33" spans="1:5" ht="31.5">
      <c r="A33" s="4" t="s">
        <v>59</v>
      </c>
      <c r="B33" s="4" t="s">
        <v>21</v>
      </c>
      <c r="D33" s="1" t="s">
        <v>162</v>
      </c>
      <c r="E33">
        <f t="shared" si="0"/>
        <v>7</v>
      </c>
    </row>
    <row r="34" spans="1:5" ht="21">
      <c r="A34" s="4" t="s">
        <v>60</v>
      </c>
      <c r="B34" s="4" t="s">
        <v>22</v>
      </c>
      <c r="D34" s="1" t="s">
        <v>163</v>
      </c>
      <c r="E34">
        <f t="shared" si="0"/>
        <v>7</v>
      </c>
    </row>
    <row r="35" spans="1:5" ht="21">
      <c r="A35" s="4" t="s">
        <v>61</v>
      </c>
      <c r="B35" s="4" t="s">
        <v>266</v>
      </c>
      <c r="D35" s="1"/>
      <c r="E35">
        <f t="shared" si="0"/>
        <v>9</v>
      </c>
    </row>
    <row r="36" spans="1:5">
      <c r="A36" s="4" t="s">
        <v>62</v>
      </c>
      <c r="B36" s="4" t="s">
        <v>267</v>
      </c>
      <c r="D36" s="1"/>
      <c r="E36">
        <f t="shared" si="0"/>
        <v>9</v>
      </c>
    </row>
    <row r="37" spans="1:5" ht="21">
      <c r="A37" s="4" t="s">
        <v>63</v>
      </c>
      <c r="B37" s="4" t="s">
        <v>23</v>
      </c>
      <c r="D37" s="1" t="s">
        <v>164</v>
      </c>
      <c r="E37">
        <f t="shared" si="0"/>
        <v>7</v>
      </c>
    </row>
    <row r="38" spans="1:5" ht="21">
      <c r="A38" s="4" t="s">
        <v>64</v>
      </c>
      <c r="B38" s="4" t="s">
        <v>24</v>
      </c>
      <c r="D38" s="1" t="s">
        <v>165</v>
      </c>
      <c r="E38">
        <f t="shared" si="0"/>
        <v>5</v>
      </c>
    </row>
    <row r="39" spans="1:5" ht="21">
      <c r="A39" s="4" t="s">
        <v>65</v>
      </c>
      <c r="B39" s="4" t="s">
        <v>226</v>
      </c>
      <c r="D39" s="1" t="s">
        <v>166</v>
      </c>
      <c r="E39">
        <f t="shared" si="0"/>
        <v>5</v>
      </c>
    </row>
    <row r="40" spans="1:5">
      <c r="A40" s="4" t="s">
        <v>66</v>
      </c>
      <c r="B40" s="4" t="s">
        <v>25</v>
      </c>
      <c r="D40" s="1" t="s">
        <v>167</v>
      </c>
      <c r="E40">
        <f t="shared" si="0"/>
        <v>7</v>
      </c>
    </row>
    <row r="41" spans="1:5">
      <c r="A41" s="4" t="s">
        <v>67</v>
      </c>
      <c r="B41" s="4" t="s">
        <v>227</v>
      </c>
      <c r="D41" s="1" t="s">
        <v>438</v>
      </c>
      <c r="E41">
        <f t="shared" si="0"/>
        <v>9</v>
      </c>
    </row>
    <row r="42" spans="1:5" ht="21">
      <c r="A42" s="4" t="s">
        <v>68</v>
      </c>
      <c r="B42" s="4" t="s">
        <v>228</v>
      </c>
      <c r="D42" s="1" t="s">
        <v>1041</v>
      </c>
      <c r="E42">
        <f t="shared" si="0"/>
        <v>9</v>
      </c>
    </row>
    <row r="43" spans="1:5" ht="31.5">
      <c r="A43" s="4" t="s">
        <v>69</v>
      </c>
      <c r="B43" s="4" t="s">
        <v>26</v>
      </c>
      <c r="D43" s="1" t="s">
        <v>168</v>
      </c>
      <c r="E43">
        <f t="shared" si="0"/>
        <v>7</v>
      </c>
    </row>
    <row r="44" spans="1:5" ht="21">
      <c r="A44" s="4" t="s">
        <v>70</v>
      </c>
      <c r="B44" s="4" t="s">
        <v>229</v>
      </c>
      <c r="D44" s="1" t="s">
        <v>667</v>
      </c>
      <c r="E44">
        <f t="shared" si="0"/>
        <v>5</v>
      </c>
    </row>
    <row r="45" spans="1:5" ht="21">
      <c r="A45" s="4" t="s">
        <v>71</v>
      </c>
      <c r="B45" s="4" t="s">
        <v>27</v>
      </c>
      <c r="D45" s="1" t="s">
        <v>169</v>
      </c>
      <c r="E45">
        <f t="shared" si="0"/>
        <v>7</v>
      </c>
    </row>
    <row r="46" spans="1:5" ht="21">
      <c r="A46" s="4" t="s">
        <v>72</v>
      </c>
      <c r="B46" s="4" t="s">
        <v>230</v>
      </c>
      <c r="D46" s="1" t="s">
        <v>170</v>
      </c>
      <c r="E46">
        <f t="shared" si="0"/>
        <v>7</v>
      </c>
    </row>
    <row r="47" spans="1:5" ht="21">
      <c r="A47" s="4" t="s">
        <v>73</v>
      </c>
      <c r="B47" s="4" t="s">
        <v>28</v>
      </c>
      <c r="D47" s="1" t="s">
        <v>171</v>
      </c>
      <c r="E47">
        <f t="shared" si="0"/>
        <v>9</v>
      </c>
    </row>
    <row r="48" spans="1:5" ht="21">
      <c r="A48" s="4" t="s">
        <v>74</v>
      </c>
      <c r="B48" s="4" t="s">
        <v>268</v>
      </c>
      <c r="D48" s="1" t="s">
        <v>172</v>
      </c>
      <c r="E48">
        <f t="shared" si="0"/>
        <v>9</v>
      </c>
    </row>
    <row r="49" spans="1:5" ht="21">
      <c r="A49" s="4" t="s">
        <v>75</v>
      </c>
      <c r="B49" s="4" t="s">
        <v>269</v>
      </c>
      <c r="D49" s="1" t="s">
        <v>173</v>
      </c>
      <c r="E49">
        <f t="shared" si="0"/>
        <v>9</v>
      </c>
    </row>
    <row r="50" spans="1:5" ht="21">
      <c r="A50" s="4" t="s">
        <v>76</v>
      </c>
      <c r="B50" s="4" t="s">
        <v>29</v>
      </c>
      <c r="D50" s="1" t="s">
        <v>174</v>
      </c>
      <c r="E50">
        <f t="shared" si="0"/>
        <v>9</v>
      </c>
    </row>
    <row r="51" spans="1:5" ht="21">
      <c r="A51" s="4" t="s">
        <v>77</v>
      </c>
      <c r="B51" s="4" t="s">
        <v>231</v>
      </c>
      <c r="D51" s="1" t="s">
        <v>175</v>
      </c>
      <c r="E51">
        <f t="shared" si="0"/>
        <v>5</v>
      </c>
    </row>
    <row r="52" spans="1:5" ht="21">
      <c r="A52" s="4" t="s">
        <v>78</v>
      </c>
      <c r="B52" s="4" t="s">
        <v>270</v>
      </c>
      <c r="D52" s="1" t="s">
        <v>176</v>
      </c>
      <c r="E52">
        <f t="shared" si="0"/>
        <v>7</v>
      </c>
    </row>
    <row r="53" spans="1:5" ht="21">
      <c r="A53" s="4" t="s">
        <v>79</v>
      </c>
      <c r="B53" s="4" t="s">
        <v>271</v>
      </c>
      <c r="D53" s="1" t="s">
        <v>177</v>
      </c>
      <c r="E53">
        <f t="shared" si="0"/>
        <v>7</v>
      </c>
    </row>
    <row r="54" spans="1:5" ht="21">
      <c r="A54" s="4" t="s">
        <v>80</v>
      </c>
      <c r="B54" s="4" t="s">
        <v>272</v>
      </c>
      <c r="D54" s="1"/>
      <c r="E54">
        <f t="shared" si="0"/>
        <v>9</v>
      </c>
    </row>
    <row r="55" spans="1:5" ht="21">
      <c r="A55" s="4" t="s">
        <v>81</v>
      </c>
      <c r="B55" s="4" t="s">
        <v>273</v>
      </c>
      <c r="D55" s="1"/>
      <c r="E55">
        <f t="shared" si="0"/>
        <v>9</v>
      </c>
    </row>
    <row r="56" spans="1:5" ht="31.5">
      <c r="A56" s="4" t="s">
        <v>82</v>
      </c>
      <c r="B56" s="4" t="s">
        <v>232</v>
      </c>
      <c r="D56" s="1"/>
      <c r="E56">
        <f t="shared" si="0"/>
        <v>9</v>
      </c>
    </row>
    <row r="57" spans="1:5" ht="21">
      <c r="A57" s="4" t="s">
        <v>83</v>
      </c>
      <c r="B57" s="4" t="s">
        <v>233</v>
      </c>
      <c r="D57" s="1" t="s">
        <v>178</v>
      </c>
      <c r="E57">
        <f t="shared" si="0"/>
        <v>5</v>
      </c>
    </row>
    <row r="58" spans="1:5">
      <c r="A58" s="4" t="s">
        <v>84</v>
      </c>
      <c r="B58" s="4" t="s">
        <v>274</v>
      </c>
      <c r="D58" s="1" t="s">
        <v>367</v>
      </c>
      <c r="E58">
        <f t="shared" si="0"/>
        <v>7</v>
      </c>
    </row>
    <row r="59" spans="1:5">
      <c r="A59" s="4" t="s">
        <v>85</v>
      </c>
      <c r="B59" s="4" t="s">
        <v>275</v>
      </c>
      <c r="D59" s="1" t="s">
        <v>179</v>
      </c>
      <c r="E59">
        <f t="shared" si="0"/>
        <v>7</v>
      </c>
    </row>
    <row r="60" spans="1:5" ht="21">
      <c r="A60" s="4" t="s">
        <v>86</v>
      </c>
      <c r="B60" s="4" t="s">
        <v>234</v>
      </c>
      <c r="D60" s="1" t="s">
        <v>180</v>
      </c>
      <c r="E60">
        <f t="shared" si="0"/>
        <v>3</v>
      </c>
    </row>
    <row r="61" spans="1:5" ht="21">
      <c r="A61" s="4" t="s">
        <v>87</v>
      </c>
      <c r="B61" s="4" t="s">
        <v>276</v>
      </c>
      <c r="D61" s="1" t="s">
        <v>181</v>
      </c>
      <c r="E61">
        <f t="shared" si="0"/>
        <v>5</v>
      </c>
    </row>
    <row r="62" spans="1:5" ht="21">
      <c r="A62" s="4" t="s">
        <v>88</v>
      </c>
      <c r="B62" s="4" t="s">
        <v>277</v>
      </c>
      <c r="D62" s="1" t="s">
        <v>182</v>
      </c>
      <c r="E62">
        <f t="shared" si="0"/>
        <v>5</v>
      </c>
    </row>
    <row r="63" spans="1:5">
      <c r="A63" s="4" t="s">
        <v>89</v>
      </c>
      <c r="B63" s="4" t="s">
        <v>278</v>
      </c>
      <c r="D63" s="1" t="s">
        <v>183</v>
      </c>
      <c r="E63">
        <f t="shared" si="0"/>
        <v>3</v>
      </c>
    </row>
    <row r="64" spans="1:5" ht="31.5">
      <c r="A64" s="4" t="s">
        <v>90</v>
      </c>
      <c r="B64" s="4" t="s">
        <v>235</v>
      </c>
      <c r="D64" s="1" t="s">
        <v>816</v>
      </c>
      <c r="E64">
        <f t="shared" si="0"/>
        <v>3</v>
      </c>
    </row>
    <row r="65" spans="1:5" ht="21">
      <c r="A65" s="4" t="s">
        <v>91</v>
      </c>
      <c r="B65" s="4" t="s">
        <v>236</v>
      </c>
      <c r="D65" s="1" t="s">
        <v>184</v>
      </c>
      <c r="E65">
        <f t="shared" si="0"/>
        <v>5</v>
      </c>
    </row>
    <row r="66" spans="1:5" ht="42">
      <c r="A66" s="4" t="s">
        <v>92</v>
      </c>
      <c r="B66" s="4" t="s">
        <v>279</v>
      </c>
      <c r="D66" s="1" t="s">
        <v>185</v>
      </c>
      <c r="E66">
        <f t="shared" si="0"/>
        <v>7</v>
      </c>
    </row>
    <row r="67" spans="1:5" ht="31.5">
      <c r="A67" s="4" t="s">
        <v>93</v>
      </c>
      <c r="B67" s="4" t="s">
        <v>280</v>
      </c>
      <c r="D67" s="1" t="s">
        <v>186</v>
      </c>
      <c r="E67">
        <f t="shared" si="0"/>
        <v>7</v>
      </c>
    </row>
    <row r="68" spans="1:5" ht="31.5">
      <c r="A68" s="4" t="s">
        <v>94</v>
      </c>
      <c r="B68" s="4" t="s">
        <v>281</v>
      </c>
      <c r="D68" s="1" t="s">
        <v>187</v>
      </c>
      <c r="E68">
        <f t="shared" si="0"/>
        <v>7</v>
      </c>
    </row>
    <row r="69" spans="1:5">
      <c r="A69" s="4" t="s">
        <v>95</v>
      </c>
      <c r="B69" s="4" t="s">
        <v>282</v>
      </c>
      <c r="D69" s="1" t="s">
        <v>188</v>
      </c>
      <c r="E69">
        <f t="shared" si="0"/>
        <v>5</v>
      </c>
    </row>
    <row r="70" spans="1:5" ht="31.5">
      <c r="A70" s="4" t="s">
        <v>96</v>
      </c>
      <c r="B70" s="4" t="s">
        <v>237</v>
      </c>
      <c r="D70" s="1" t="s">
        <v>189</v>
      </c>
      <c r="E70">
        <f t="shared" ref="E70:E109" si="1">FIND("C",A70)</f>
        <v>3</v>
      </c>
    </row>
    <row r="71" spans="1:5" ht="21">
      <c r="A71" s="4" t="s">
        <v>97</v>
      </c>
      <c r="B71" s="4" t="s">
        <v>238</v>
      </c>
      <c r="D71" s="1" t="s">
        <v>671</v>
      </c>
      <c r="E71">
        <f t="shared" si="1"/>
        <v>5</v>
      </c>
    </row>
    <row r="72" spans="1:5" ht="21">
      <c r="A72" s="4" t="s">
        <v>98</v>
      </c>
      <c r="B72" s="4" t="s">
        <v>283</v>
      </c>
      <c r="D72" s="1" t="s">
        <v>190</v>
      </c>
      <c r="E72">
        <f t="shared" si="1"/>
        <v>7</v>
      </c>
    </row>
    <row r="73" spans="1:5">
      <c r="A73" s="4" t="s">
        <v>99</v>
      </c>
      <c r="B73" s="4" t="s">
        <v>284</v>
      </c>
      <c r="D73" s="1" t="s">
        <v>191</v>
      </c>
      <c r="E73">
        <f t="shared" si="1"/>
        <v>7</v>
      </c>
    </row>
    <row r="74" spans="1:5">
      <c r="A74" s="4" t="s">
        <v>100</v>
      </c>
      <c r="B74" s="4" t="s">
        <v>285</v>
      </c>
      <c r="D74" s="1" t="s">
        <v>192</v>
      </c>
      <c r="E74">
        <f t="shared" si="1"/>
        <v>7</v>
      </c>
    </row>
    <row r="75" spans="1:5" ht="21">
      <c r="A75" s="4" t="s">
        <v>101</v>
      </c>
      <c r="B75" s="4" t="s">
        <v>286</v>
      </c>
      <c r="D75" s="1" t="s">
        <v>193</v>
      </c>
      <c r="E75">
        <f t="shared" si="1"/>
        <v>7</v>
      </c>
    </row>
    <row r="76" spans="1:5" ht="21">
      <c r="A76" s="4" t="s">
        <v>102</v>
      </c>
      <c r="B76" s="4" t="s">
        <v>287</v>
      </c>
      <c r="D76" s="1" t="s">
        <v>194</v>
      </c>
      <c r="E76">
        <f t="shared" si="1"/>
        <v>5</v>
      </c>
    </row>
    <row r="77" spans="1:5" ht="31.5">
      <c r="A77" s="4" t="s">
        <v>103</v>
      </c>
      <c r="B77" s="4" t="s">
        <v>239</v>
      </c>
      <c r="D77" s="1" t="s">
        <v>817</v>
      </c>
      <c r="E77">
        <f t="shared" si="1"/>
        <v>3</v>
      </c>
    </row>
    <row r="78" spans="1:5" ht="21">
      <c r="A78" s="4" t="s">
        <v>104</v>
      </c>
      <c r="B78" s="4" t="s">
        <v>240</v>
      </c>
      <c r="D78" s="1" t="s">
        <v>195</v>
      </c>
      <c r="E78">
        <f t="shared" si="1"/>
        <v>5</v>
      </c>
    </row>
    <row r="79" spans="1:5" ht="31.5">
      <c r="A79" s="4" t="s">
        <v>105</v>
      </c>
      <c r="B79" s="4" t="s">
        <v>288</v>
      </c>
      <c r="D79" s="1" t="s">
        <v>196</v>
      </c>
      <c r="E79">
        <f t="shared" si="1"/>
        <v>7</v>
      </c>
    </row>
    <row r="80" spans="1:5" ht="31.5">
      <c r="A80" s="4" t="s">
        <v>106</v>
      </c>
      <c r="B80" s="4" t="s">
        <v>289</v>
      </c>
      <c r="D80" s="1" t="s">
        <v>197</v>
      </c>
      <c r="E80">
        <f t="shared" si="1"/>
        <v>7</v>
      </c>
    </row>
    <row r="81" spans="1:5" ht="21">
      <c r="A81" s="4" t="s">
        <v>107</v>
      </c>
      <c r="B81" s="4" t="s">
        <v>290</v>
      </c>
      <c r="D81" s="1" t="s">
        <v>198</v>
      </c>
      <c r="E81">
        <f t="shared" si="1"/>
        <v>7</v>
      </c>
    </row>
    <row r="82" spans="1:5" ht="21">
      <c r="A82" s="4" t="s">
        <v>108</v>
      </c>
      <c r="B82" s="4" t="s">
        <v>241</v>
      </c>
      <c r="D82" s="1" t="s">
        <v>199</v>
      </c>
      <c r="E82">
        <f t="shared" si="1"/>
        <v>5</v>
      </c>
    </row>
    <row r="83" spans="1:5">
      <c r="A83" s="4" t="s">
        <v>109</v>
      </c>
      <c r="B83" s="4" t="s">
        <v>291</v>
      </c>
      <c r="D83" s="1" t="s">
        <v>200</v>
      </c>
      <c r="E83">
        <f t="shared" si="1"/>
        <v>7</v>
      </c>
    </row>
    <row r="84" spans="1:5" ht="31.5">
      <c r="A84" s="4" t="s">
        <v>110</v>
      </c>
      <c r="B84" s="4" t="s">
        <v>242</v>
      </c>
      <c r="D84" s="1" t="s">
        <v>213</v>
      </c>
      <c r="E84">
        <f t="shared" si="1"/>
        <v>7</v>
      </c>
    </row>
    <row r="85" spans="1:5" ht="21">
      <c r="A85" s="4" t="s">
        <v>111</v>
      </c>
      <c r="B85" s="4" t="s">
        <v>292</v>
      </c>
      <c r="D85" s="1" t="s">
        <v>201</v>
      </c>
      <c r="E85">
        <f t="shared" si="1"/>
        <v>9</v>
      </c>
    </row>
    <row r="86" spans="1:5" ht="21">
      <c r="A86" s="4" t="s">
        <v>112</v>
      </c>
      <c r="B86" s="4" t="s">
        <v>293</v>
      </c>
      <c r="D86" s="1" t="s">
        <v>202</v>
      </c>
      <c r="E86">
        <f t="shared" si="1"/>
        <v>9</v>
      </c>
    </row>
    <row r="87" spans="1:5" ht="21">
      <c r="A87" s="4" t="s">
        <v>113</v>
      </c>
      <c r="B87" s="4" t="s">
        <v>294</v>
      </c>
      <c r="D87" s="1" t="s">
        <v>203</v>
      </c>
      <c r="E87">
        <f t="shared" si="1"/>
        <v>9</v>
      </c>
    </row>
    <row r="88" spans="1:5" ht="21">
      <c r="A88" s="4" t="s">
        <v>114</v>
      </c>
      <c r="B88" s="4" t="s">
        <v>295</v>
      </c>
      <c r="D88" s="1" t="s">
        <v>204</v>
      </c>
      <c r="E88">
        <f t="shared" si="1"/>
        <v>9</v>
      </c>
    </row>
    <row r="89" spans="1:5" ht="31.5">
      <c r="A89" s="4" t="s">
        <v>115</v>
      </c>
      <c r="B89" s="4" t="s">
        <v>243</v>
      </c>
      <c r="D89" s="1" t="s">
        <v>1043</v>
      </c>
      <c r="E89">
        <f t="shared" si="1"/>
        <v>3</v>
      </c>
    </row>
    <row r="90" spans="1:5" ht="31.5">
      <c r="A90" s="4" t="s">
        <v>116</v>
      </c>
      <c r="B90" s="4" t="s">
        <v>296</v>
      </c>
      <c r="D90" s="1" t="s">
        <v>999</v>
      </c>
      <c r="E90">
        <f t="shared" si="1"/>
        <v>5</v>
      </c>
    </row>
    <row r="91" spans="1:5">
      <c r="A91" s="4" t="s">
        <v>117</v>
      </c>
      <c r="B91" s="4" t="s">
        <v>297</v>
      </c>
      <c r="D91" s="1" t="s">
        <v>205</v>
      </c>
      <c r="E91">
        <f t="shared" si="1"/>
        <v>5</v>
      </c>
    </row>
    <row r="92" spans="1:5">
      <c r="A92" s="4" t="s">
        <v>118</v>
      </c>
      <c r="B92" s="4" t="s">
        <v>298</v>
      </c>
      <c r="D92" s="1" t="s">
        <v>206</v>
      </c>
      <c r="E92">
        <f t="shared" si="1"/>
        <v>5</v>
      </c>
    </row>
    <row r="93" spans="1:5" ht="21">
      <c r="A93" s="4" t="s">
        <v>119</v>
      </c>
      <c r="B93" s="4" t="s">
        <v>244</v>
      </c>
      <c r="D93" s="1" t="s">
        <v>207</v>
      </c>
      <c r="E93">
        <f t="shared" si="1"/>
        <v>5</v>
      </c>
    </row>
    <row r="94" spans="1:5" ht="31.5">
      <c r="A94" s="4" t="s">
        <v>120</v>
      </c>
      <c r="B94" s="4" t="s">
        <v>299</v>
      </c>
      <c r="D94" s="1" t="s">
        <v>208</v>
      </c>
      <c r="E94">
        <f t="shared" si="1"/>
        <v>7</v>
      </c>
    </row>
    <row r="95" spans="1:5" ht="31.5">
      <c r="A95" s="4" t="s">
        <v>121</v>
      </c>
      <c r="B95" s="4" t="s">
        <v>300</v>
      </c>
      <c r="D95" s="1" t="s">
        <v>209</v>
      </c>
      <c r="E95">
        <f t="shared" si="1"/>
        <v>7</v>
      </c>
    </row>
    <row r="96" spans="1:5" ht="21">
      <c r="A96" s="4" t="s">
        <v>122</v>
      </c>
      <c r="B96" s="4" t="s">
        <v>301</v>
      </c>
      <c r="D96" s="1" t="s">
        <v>210</v>
      </c>
      <c r="E96">
        <f t="shared" si="1"/>
        <v>7</v>
      </c>
    </row>
    <row r="97" spans="1:5" ht="21">
      <c r="A97" s="4" t="s">
        <v>123</v>
      </c>
      <c r="B97" s="4" t="s">
        <v>302</v>
      </c>
      <c r="D97" s="1" t="s">
        <v>211</v>
      </c>
      <c r="E97">
        <f t="shared" si="1"/>
        <v>7</v>
      </c>
    </row>
    <row r="98" spans="1:5" ht="21">
      <c r="A98" s="4" t="s">
        <v>124</v>
      </c>
      <c r="B98" s="4" t="s">
        <v>303</v>
      </c>
      <c r="D98" s="8" t="s">
        <v>212</v>
      </c>
      <c r="E98">
        <f t="shared" si="1"/>
        <v>5</v>
      </c>
    </row>
    <row r="99" spans="1:5" ht="21">
      <c r="A99" s="4" t="s">
        <v>125</v>
      </c>
      <c r="B99" s="4" t="s">
        <v>245</v>
      </c>
      <c r="E99">
        <f t="shared" si="1"/>
        <v>1</v>
      </c>
    </row>
    <row r="100" spans="1:5" ht="31.5">
      <c r="A100" s="4" t="s">
        <v>126</v>
      </c>
      <c r="B100" s="4" t="s">
        <v>246</v>
      </c>
      <c r="E100">
        <f t="shared" si="1"/>
        <v>1</v>
      </c>
    </row>
    <row r="101" spans="1:5">
      <c r="A101" s="4" t="s">
        <v>127</v>
      </c>
      <c r="B101" s="4" t="s">
        <v>247</v>
      </c>
      <c r="E101">
        <f t="shared" si="1"/>
        <v>1</v>
      </c>
    </row>
    <row r="102" spans="1:5" ht="21">
      <c r="A102" s="4" t="s">
        <v>128</v>
      </c>
      <c r="B102" s="4" t="s">
        <v>248</v>
      </c>
      <c r="E102">
        <f t="shared" si="1"/>
        <v>1</v>
      </c>
    </row>
    <row r="103" spans="1:5" ht="31.5">
      <c r="A103" s="4" t="s">
        <v>129</v>
      </c>
      <c r="B103" s="4" t="s">
        <v>249</v>
      </c>
      <c r="E103">
        <f t="shared" si="1"/>
        <v>1</v>
      </c>
    </row>
    <row r="104" spans="1:5" ht="31.5">
      <c r="A104" s="4" t="s">
        <v>130</v>
      </c>
      <c r="B104" s="4" t="s">
        <v>250</v>
      </c>
      <c r="E104">
        <f t="shared" si="1"/>
        <v>1</v>
      </c>
    </row>
    <row r="105" spans="1:5" ht="21">
      <c r="A105" s="4" t="s">
        <v>131</v>
      </c>
      <c r="B105" s="4" t="s">
        <v>251</v>
      </c>
      <c r="E105">
        <f t="shared" si="1"/>
        <v>5</v>
      </c>
    </row>
    <row r="106" spans="1:5" ht="21">
      <c r="A106" s="4" t="s">
        <v>132</v>
      </c>
      <c r="B106" s="4" t="s">
        <v>252</v>
      </c>
      <c r="E106">
        <f t="shared" si="1"/>
        <v>5</v>
      </c>
    </row>
    <row r="107" spans="1:5" ht="21">
      <c r="A107" s="4" t="s">
        <v>133</v>
      </c>
      <c r="B107" s="4" t="s">
        <v>253</v>
      </c>
      <c r="E107">
        <f t="shared" si="1"/>
        <v>5</v>
      </c>
    </row>
    <row r="108" spans="1:5" ht="21">
      <c r="A108" s="4" t="s">
        <v>134</v>
      </c>
      <c r="B108" s="4" t="s">
        <v>254</v>
      </c>
      <c r="E108">
        <f t="shared" si="1"/>
        <v>5</v>
      </c>
    </row>
    <row r="109" spans="1:5" ht="21">
      <c r="A109" s="4" t="s">
        <v>135</v>
      </c>
      <c r="B109" s="4" t="s">
        <v>255</v>
      </c>
      <c r="E109">
        <f t="shared" si="1"/>
        <v>6</v>
      </c>
    </row>
    <row r="110" spans="1:5" ht="21">
      <c r="A110" s="4" t="s">
        <v>136</v>
      </c>
      <c r="B110" s="4" t="s">
        <v>256</v>
      </c>
      <c r="E110">
        <v>9</v>
      </c>
    </row>
    <row r="111" spans="1:5">
      <c r="A111" s="5" t="s">
        <v>137</v>
      </c>
      <c r="B111" s="5" t="s">
        <v>304</v>
      </c>
    </row>
    <row r="112" spans="1:5">
      <c r="A112" s="6"/>
      <c r="B112" s="6"/>
    </row>
    <row r="113" spans="1:4">
      <c r="A113" s="7"/>
      <c r="B113" s="7"/>
      <c r="D113"/>
    </row>
    <row r="114" spans="1:4">
      <c r="A114" s="7"/>
      <c r="B114" s="7"/>
      <c r="D114"/>
    </row>
  </sheetData>
  <hyperlinks>
    <hyperlink ref="A111" r:id="rId1" tooltip="Click once to display linked information. Click and hold to select this cell." display="http://stats.oecd.org/"/>
    <hyperlink ref="B111" r:id="rId2" tooltip="Click once to display linked information. Click and hold to select this cell." display="http://stats.oecd.org/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opLeftCell="B1" zoomScale="85" zoomScaleNormal="85" workbookViewId="0">
      <selection activeCell="E36" sqref="E5:E36"/>
    </sheetView>
  </sheetViews>
  <sheetFormatPr defaultColWidth="20.85546875" defaultRowHeight="15"/>
  <cols>
    <col min="1" max="1" width="0" style="22" hidden="1" customWidth="1"/>
    <col min="2" max="2" width="20.85546875" style="22"/>
    <col min="3" max="3" width="0" style="22" hidden="1" customWidth="1"/>
  </cols>
  <sheetData>
    <row r="1" spans="1:5" ht="51">
      <c r="A1" s="43" t="s">
        <v>779</v>
      </c>
      <c r="B1" s="43"/>
      <c r="C1" s="43"/>
    </row>
    <row r="4" spans="1:5">
      <c r="A4" s="43" t="s">
        <v>766</v>
      </c>
      <c r="B4" s="43" t="s">
        <v>30</v>
      </c>
      <c r="C4" s="43"/>
      <c r="D4" s="2" t="s">
        <v>811</v>
      </c>
    </row>
    <row r="5" spans="1:5">
      <c r="A5" s="44" t="s">
        <v>780</v>
      </c>
      <c r="B5" s="44">
        <v>1</v>
      </c>
      <c r="C5" s="44"/>
      <c r="D5" s="18" t="s">
        <v>708</v>
      </c>
      <c r="E5">
        <v>1</v>
      </c>
    </row>
    <row r="6" spans="1:5">
      <c r="A6" s="44" t="s">
        <v>781</v>
      </c>
      <c r="B6" s="44">
        <v>2</v>
      </c>
      <c r="C6" s="44"/>
      <c r="D6" s="18" t="s">
        <v>141</v>
      </c>
      <c r="E6">
        <v>1</v>
      </c>
    </row>
    <row r="7" spans="1:5">
      <c r="A7" s="44" t="s">
        <v>782</v>
      </c>
      <c r="B7" s="44">
        <v>3</v>
      </c>
      <c r="C7" s="44"/>
      <c r="D7" s="18" t="s">
        <v>142</v>
      </c>
      <c r="E7">
        <v>1</v>
      </c>
    </row>
    <row r="8" spans="1:5">
      <c r="A8" s="45" t="s">
        <v>783</v>
      </c>
      <c r="B8" s="44">
        <v>4</v>
      </c>
      <c r="C8" s="45"/>
      <c r="D8" s="18" t="s">
        <v>144</v>
      </c>
      <c r="E8">
        <v>1</v>
      </c>
    </row>
    <row r="9" spans="1:5">
      <c r="A9" s="45" t="s">
        <v>784</v>
      </c>
      <c r="B9" s="44">
        <v>5</v>
      </c>
      <c r="C9" s="45"/>
      <c r="D9" s="18" t="s">
        <v>665</v>
      </c>
      <c r="E9">
        <v>1</v>
      </c>
    </row>
    <row r="10" spans="1:5">
      <c r="A10" s="44" t="s">
        <v>785</v>
      </c>
      <c r="B10" s="44">
        <v>6</v>
      </c>
      <c r="C10" s="44"/>
      <c r="D10" s="18" t="s">
        <v>665</v>
      </c>
      <c r="E10">
        <v>1</v>
      </c>
    </row>
    <row r="11" spans="1:5">
      <c r="A11" s="44" t="s">
        <v>786</v>
      </c>
      <c r="B11" s="44">
        <v>7</v>
      </c>
      <c r="C11" s="44"/>
      <c r="D11" s="18" t="s">
        <v>148</v>
      </c>
      <c r="E11">
        <v>1</v>
      </c>
    </row>
    <row r="12" spans="1:5" ht="15.75">
      <c r="A12" s="44" t="s">
        <v>787</v>
      </c>
      <c r="B12" s="44">
        <v>8</v>
      </c>
      <c r="C12" s="44"/>
      <c r="D12" s="18" t="s">
        <v>1074</v>
      </c>
      <c r="E12">
        <v>1</v>
      </c>
    </row>
    <row r="13" spans="1:5">
      <c r="A13" s="44" t="s">
        <v>788</v>
      </c>
      <c r="B13" s="44">
        <v>9</v>
      </c>
      <c r="C13" s="44"/>
      <c r="D13" s="1" t="s">
        <v>151</v>
      </c>
      <c r="E13">
        <v>1</v>
      </c>
    </row>
    <row r="14" spans="1:5">
      <c r="A14" s="44" t="s">
        <v>789</v>
      </c>
      <c r="B14" s="44">
        <v>10</v>
      </c>
      <c r="C14" s="44"/>
      <c r="D14" s="1" t="s">
        <v>814</v>
      </c>
      <c r="E14">
        <v>1</v>
      </c>
    </row>
    <row r="15" spans="1:5">
      <c r="A15" s="44" t="s">
        <v>790</v>
      </c>
      <c r="B15" s="44">
        <v>11</v>
      </c>
      <c r="C15" s="44"/>
      <c r="D15" s="1" t="s">
        <v>818</v>
      </c>
      <c r="E15">
        <v>1</v>
      </c>
    </row>
    <row r="16" spans="1:5">
      <c r="A16" s="44" t="s">
        <v>791</v>
      </c>
      <c r="B16" s="44">
        <v>12</v>
      </c>
      <c r="C16" s="44"/>
      <c r="D16" s="1" t="s">
        <v>815</v>
      </c>
      <c r="E16">
        <v>1</v>
      </c>
    </row>
    <row r="17" spans="1:5">
      <c r="A17" s="44" t="s">
        <v>792</v>
      </c>
      <c r="B17" s="44">
        <v>13</v>
      </c>
      <c r="C17" s="44"/>
      <c r="D17" s="1" t="s">
        <v>165</v>
      </c>
      <c r="E17">
        <v>1</v>
      </c>
    </row>
    <row r="18" spans="1:5">
      <c r="A18" s="44" t="s">
        <v>793</v>
      </c>
      <c r="B18" s="44">
        <v>14</v>
      </c>
      <c r="C18" s="44"/>
      <c r="D18" s="1" t="s">
        <v>1075</v>
      </c>
      <c r="E18">
        <v>1</v>
      </c>
    </row>
    <row r="19" spans="1:5">
      <c r="A19" s="44" t="s">
        <v>794</v>
      </c>
      <c r="B19" s="44">
        <v>15</v>
      </c>
      <c r="C19" s="44"/>
      <c r="D19" s="1" t="s">
        <v>1076</v>
      </c>
      <c r="E19">
        <v>1</v>
      </c>
    </row>
    <row r="20" spans="1:5">
      <c r="A20" s="44" t="s">
        <v>795</v>
      </c>
      <c r="B20" s="44">
        <v>16</v>
      </c>
      <c r="C20" s="44"/>
      <c r="D20" s="1" t="s">
        <v>1077</v>
      </c>
      <c r="E20">
        <v>1</v>
      </c>
    </row>
    <row r="21" spans="1:5">
      <c r="A21" s="44" t="s">
        <v>796</v>
      </c>
      <c r="B21" s="44">
        <v>17</v>
      </c>
      <c r="C21" s="44"/>
      <c r="D21" s="1" t="s">
        <v>175</v>
      </c>
      <c r="E21">
        <v>1</v>
      </c>
    </row>
    <row r="22" spans="1:5" ht="15.75">
      <c r="A22" s="44" t="s">
        <v>797</v>
      </c>
      <c r="B22" s="44">
        <v>18</v>
      </c>
      <c r="C22" s="44"/>
      <c r="D22" s="11" t="s">
        <v>178</v>
      </c>
      <c r="E22">
        <v>1</v>
      </c>
    </row>
    <row r="23" spans="1:5">
      <c r="A23" s="45" t="s">
        <v>798</v>
      </c>
      <c r="B23" s="44">
        <v>19</v>
      </c>
      <c r="C23" s="45"/>
      <c r="D23" s="18" t="s">
        <v>778</v>
      </c>
      <c r="E23">
        <v>1</v>
      </c>
    </row>
    <row r="24" spans="1:5">
      <c r="A24" s="44" t="s">
        <v>799</v>
      </c>
      <c r="B24" s="44">
        <v>20</v>
      </c>
      <c r="C24" s="44"/>
      <c r="D24" s="18" t="s">
        <v>669</v>
      </c>
      <c r="E24">
        <v>1</v>
      </c>
    </row>
    <row r="25" spans="1:5">
      <c r="A25" s="44" t="s">
        <v>800</v>
      </c>
      <c r="B25" s="44">
        <v>21</v>
      </c>
      <c r="C25" s="44"/>
      <c r="D25" s="1" t="s">
        <v>183</v>
      </c>
      <c r="E25">
        <v>1</v>
      </c>
    </row>
    <row r="26" spans="1:5">
      <c r="A26" s="44" t="s">
        <v>801</v>
      </c>
      <c r="B26" s="44">
        <v>22</v>
      </c>
      <c r="C26" s="44"/>
      <c r="D26" s="1" t="s">
        <v>186</v>
      </c>
      <c r="E26">
        <v>1</v>
      </c>
    </row>
    <row r="27" spans="1:5" ht="15.75">
      <c r="A27" s="44" t="s">
        <v>802</v>
      </c>
      <c r="B27" s="44">
        <v>23</v>
      </c>
      <c r="C27" s="44"/>
      <c r="D27" s="1" t="s">
        <v>187</v>
      </c>
      <c r="E27">
        <v>1</v>
      </c>
    </row>
    <row r="28" spans="1:5">
      <c r="A28" s="44" t="s">
        <v>803</v>
      </c>
      <c r="B28" s="44">
        <v>24</v>
      </c>
      <c r="C28" s="44"/>
      <c r="D28" s="1" t="s">
        <v>185</v>
      </c>
      <c r="E28">
        <v>1</v>
      </c>
    </row>
    <row r="29" spans="1:5">
      <c r="A29" s="45" t="s">
        <v>804</v>
      </c>
      <c r="B29" s="44">
        <v>25</v>
      </c>
      <c r="C29" s="45"/>
      <c r="D29" s="1" t="s">
        <v>188</v>
      </c>
      <c r="E29">
        <v>1</v>
      </c>
    </row>
    <row r="30" spans="1:5">
      <c r="A30" s="44" t="s">
        <v>805</v>
      </c>
      <c r="B30" s="44">
        <v>26</v>
      </c>
      <c r="C30" s="44"/>
      <c r="D30" s="1" t="s">
        <v>671</v>
      </c>
      <c r="E30">
        <v>1</v>
      </c>
    </row>
    <row r="31" spans="1:5">
      <c r="A31" s="44" t="s">
        <v>806</v>
      </c>
      <c r="B31" s="44">
        <v>27</v>
      </c>
      <c r="C31" s="44"/>
      <c r="D31" s="1" t="s">
        <v>194</v>
      </c>
      <c r="E31">
        <v>1</v>
      </c>
    </row>
    <row r="32" spans="1:5">
      <c r="A32" s="44" t="s">
        <v>807</v>
      </c>
      <c r="B32" s="44">
        <v>28</v>
      </c>
      <c r="C32" s="44"/>
      <c r="D32" s="18" t="s">
        <v>195</v>
      </c>
      <c r="E32">
        <v>1</v>
      </c>
    </row>
    <row r="33" spans="1:5">
      <c r="A33" s="44" t="s">
        <v>808</v>
      </c>
      <c r="B33" s="44">
        <v>29</v>
      </c>
      <c r="C33" s="44"/>
      <c r="D33" s="18" t="s">
        <v>200</v>
      </c>
      <c r="E33">
        <v>1</v>
      </c>
    </row>
    <row r="34" spans="1:5" ht="15.75">
      <c r="A34" s="44" t="s">
        <v>809</v>
      </c>
      <c r="B34" s="44">
        <v>30</v>
      </c>
      <c r="C34" s="44"/>
      <c r="D34" s="18" t="s">
        <v>213</v>
      </c>
      <c r="E34">
        <v>1</v>
      </c>
    </row>
    <row r="35" spans="1:5">
      <c r="A35" t="s">
        <v>1098</v>
      </c>
      <c r="B35" s="44">
        <v>31</v>
      </c>
      <c r="C35" s="44"/>
      <c r="D35" s="8" t="s">
        <v>1078</v>
      </c>
      <c r="E35">
        <v>1</v>
      </c>
    </row>
    <row r="36" spans="1:5" ht="15.75">
      <c r="A36" s="44" t="s">
        <v>810</v>
      </c>
      <c r="B36" s="44">
        <v>32</v>
      </c>
      <c r="C36" s="44"/>
      <c r="D36" t="s">
        <v>1079</v>
      </c>
      <c r="E36">
        <v>1</v>
      </c>
    </row>
    <row r="37" spans="1:5">
      <c r="A37" s="46"/>
      <c r="B37" s="46"/>
      <c r="C37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810A64-1E58-415C-AF18-76554EC930FE}"/>
</file>

<file path=customXml/itemProps2.xml><?xml version="1.0" encoding="utf-8"?>
<ds:datastoreItem xmlns:ds="http://schemas.openxmlformats.org/officeDocument/2006/customXml" ds:itemID="{DB48D971-439B-4A68-84A7-834B20D89743}"/>
</file>

<file path=customXml/itemProps3.xml><?xml version="1.0" encoding="utf-8"?>
<ds:datastoreItem xmlns:ds="http://schemas.openxmlformats.org/officeDocument/2006/customXml" ds:itemID="{5A985E26-6277-4697-AB9E-4EC07733D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AU</vt:lpstr>
      <vt:lpstr>BR</vt:lpstr>
      <vt:lpstr>CA</vt:lpstr>
      <vt:lpstr>CN</vt:lpstr>
      <vt:lpstr>ID</vt:lpstr>
      <vt:lpstr>IN</vt:lpstr>
      <vt:lpstr>JP</vt:lpstr>
      <vt:lpstr>KR</vt:lpstr>
      <vt:lpstr>MX</vt:lpstr>
      <vt:lpstr>RU</vt:lpstr>
      <vt:lpstr>TW</vt:lpstr>
      <vt:lpstr>US</vt:lpstr>
      <vt:lpstr>ZA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Zhang</dc:creator>
  <cp:lastModifiedBy>Richard Wood</cp:lastModifiedBy>
  <dcterms:created xsi:type="dcterms:W3CDTF">2014-10-27T16:38:17Z</dcterms:created>
  <dcterms:modified xsi:type="dcterms:W3CDTF">2015-02-12T09:00:21Z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